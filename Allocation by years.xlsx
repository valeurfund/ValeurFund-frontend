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i89\OneDrive - Open University of Israel\שולחן העבודה\"/>
    </mc:Choice>
  </mc:AlternateContent>
  <xr:revisionPtr revIDLastSave="0" documentId="13_ncr:1_{FE4A02DB-E2BF-4A12-A863-3C4E66CC3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9" i="1" l="1"/>
  <c r="AC79" i="1"/>
  <c r="AA79" i="1"/>
  <c r="Z79" i="1"/>
  <c r="U79" i="1"/>
  <c r="T79" i="1"/>
  <c r="R79" i="1"/>
  <c r="Q79" i="1"/>
  <c r="R47" i="1"/>
  <c r="AJ78" i="1"/>
  <c r="AI78" i="1"/>
  <c r="AJ77" i="1"/>
  <c r="AI77" i="1"/>
  <c r="AJ76" i="1"/>
  <c r="AI76" i="1"/>
  <c r="AJ75" i="1"/>
  <c r="AI75" i="1"/>
  <c r="AJ74" i="1"/>
  <c r="AI74" i="1"/>
  <c r="AJ73" i="1"/>
  <c r="AI73" i="1"/>
  <c r="AJ72" i="1"/>
  <c r="AI72" i="1"/>
  <c r="AJ71" i="1"/>
  <c r="AI71" i="1"/>
  <c r="AJ70" i="1"/>
  <c r="AI70" i="1"/>
  <c r="AJ69" i="1"/>
  <c r="AI69" i="1"/>
  <c r="AJ68" i="1"/>
  <c r="AI68" i="1"/>
  <c r="AJ67" i="1"/>
  <c r="AI67" i="1"/>
  <c r="AJ66" i="1"/>
  <c r="AI66" i="1"/>
  <c r="AJ65" i="1"/>
  <c r="AI65" i="1"/>
  <c r="AJ64" i="1"/>
  <c r="AI64" i="1"/>
  <c r="AJ63" i="1"/>
  <c r="AI63" i="1"/>
  <c r="AJ62" i="1"/>
  <c r="AI62" i="1"/>
  <c r="AJ61" i="1"/>
  <c r="AI61" i="1"/>
  <c r="AJ60" i="1"/>
  <c r="AI60" i="1"/>
  <c r="AJ59" i="1"/>
  <c r="AI59" i="1"/>
  <c r="AJ58" i="1"/>
  <c r="AI58" i="1"/>
  <c r="AJ57" i="1"/>
  <c r="AI57" i="1"/>
  <c r="AJ56" i="1"/>
  <c r="AI56" i="1"/>
  <c r="AJ55" i="1"/>
  <c r="AI55" i="1"/>
  <c r="AJ54" i="1"/>
  <c r="AI54" i="1"/>
  <c r="AJ53" i="1"/>
  <c r="AI53" i="1"/>
  <c r="AJ52" i="1"/>
  <c r="AI52" i="1"/>
  <c r="AJ51" i="1"/>
  <c r="AI51" i="1"/>
  <c r="AJ50" i="1"/>
  <c r="AI50" i="1"/>
  <c r="AJ49" i="1"/>
  <c r="AI49" i="1"/>
  <c r="AJ48" i="1"/>
  <c r="AI48" i="1"/>
  <c r="AJ47" i="1"/>
  <c r="AI47" i="1"/>
  <c r="AG78" i="1"/>
  <c r="AF78" i="1"/>
  <c r="AG77" i="1"/>
  <c r="AF77" i="1"/>
  <c r="AG76" i="1"/>
  <c r="AF76" i="1"/>
  <c r="AG75" i="1"/>
  <c r="AF75" i="1"/>
  <c r="AG74" i="1"/>
  <c r="AF74" i="1"/>
  <c r="AG73" i="1"/>
  <c r="AF73" i="1"/>
  <c r="AG72" i="1"/>
  <c r="AF72" i="1"/>
  <c r="AG71" i="1"/>
  <c r="AF71" i="1"/>
  <c r="AG70" i="1"/>
  <c r="AF70" i="1"/>
  <c r="AG69" i="1"/>
  <c r="AF69" i="1"/>
  <c r="AG68" i="1"/>
  <c r="AF68" i="1"/>
  <c r="AG67" i="1"/>
  <c r="AF67" i="1"/>
  <c r="AG66" i="1"/>
  <c r="AF66" i="1"/>
  <c r="AG65" i="1"/>
  <c r="AF65" i="1"/>
  <c r="AG64" i="1"/>
  <c r="AF64" i="1"/>
  <c r="AG63" i="1"/>
  <c r="AF63" i="1"/>
  <c r="AG62" i="1"/>
  <c r="AF62" i="1"/>
  <c r="AG61" i="1"/>
  <c r="AF61" i="1"/>
  <c r="AG60" i="1"/>
  <c r="AF60" i="1"/>
  <c r="AG59" i="1"/>
  <c r="AF59" i="1"/>
  <c r="AG58" i="1"/>
  <c r="AF58" i="1"/>
  <c r="AG57" i="1"/>
  <c r="AF57" i="1"/>
  <c r="AG56" i="1"/>
  <c r="AF56" i="1"/>
  <c r="AG55" i="1"/>
  <c r="AF55" i="1"/>
  <c r="AG54" i="1"/>
  <c r="AF54" i="1"/>
  <c r="AG53" i="1"/>
  <c r="AF53" i="1"/>
  <c r="AG52" i="1"/>
  <c r="AF52" i="1"/>
  <c r="AG51" i="1"/>
  <c r="AF51" i="1"/>
  <c r="AG50" i="1"/>
  <c r="AF50" i="1"/>
  <c r="AG49" i="1"/>
  <c r="AF49" i="1"/>
  <c r="AG48" i="1"/>
  <c r="AF48" i="1"/>
  <c r="AG47" i="1"/>
  <c r="AF47" i="1"/>
  <c r="AD78" i="1"/>
  <c r="AC78" i="1"/>
  <c r="AD77" i="1"/>
  <c r="AC77" i="1"/>
  <c r="AD76" i="1"/>
  <c r="AC76" i="1"/>
  <c r="AD75" i="1"/>
  <c r="AC75" i="1"/>
  <c r="AD74" i="1"/>
  <c r="AC74" i="1"/>
  <c r="AD73" i="1"/>
  <c r="AC73" i="1"/>
  <c r="AD72" i="1"/>
  <c r="AC72" i="1"/>
  <c r="AD71" i="1"/>
  <c r="AC71" i="1"/>
  <c r="AD70" i="1"/>
  <c r="AC70" i="1"/>
  <c r="AD69" i="1"/>
  <c r="AC69" i="1"/>
  <c r="AD68" i="1"/>
  <c r="AC68" i="1"/>
  <c r="AD67" i="1"/>
  <c r="AC67" i="1"/>
  <c r="AD66" i="1"/>
  <c r="AC66" i="1"/>
  <c r="AD65" i="1"/>
  <c r="AC65" i="1"/>
  <c r="AD64" i="1"/>
  <c r="AC64" i="1"/>
  <c r="AD63" i="1"/>
  <c r="AC63" i="1"/>
  <c r="AD62" i="1"/>
  <c r="AC62" i="1"/>
  <c r="AD61" i="1"/>
  <c r="AC61" i="1"/>
  <c r="AD60" i="1"/>
  <c r="AC60" i="1"/>
  <c r="AD59" i="1"/>
  <c r="AC59" i="1"/>
  <c r="AD58" i="1"/>
  <c r="AC58" i="1"/>
  <c r="AD57" i="1"/>
  <c r="AC57" i="1"/>
  <c r="AD56" i="1"/>
  <c r="AC56" i="1"/>
  <c r="AD55" i="1"/>
  <c r="AC55" i="1"/>
  <c r="AD54" i="1"/>
  <c r="AC54" i="1"/>
  <c r="AD53" i="1"/>
  <c r="AC53" i="1"/>
  <c r="AD52" i="1"/>
  <c r="AC52" i="1"/>
  <c r="AD51" i="1"/>
  <c r="AC51" i="1"/>
  <c r="AD50" i="1"/>
  <c r="AC50" i="1"/>
  <c r="AD49" i="1"/>
  <c r="AC49" i="1"/>
  <c r="AD48" i="1"/>
  <c r="AC48" i="1"/>
  <c r="AD47" i="1"/>
  <c r="AC47" i="1"/>
  <c r="AA78" i="1"/>
  <c r="Z78" i="1"/>
  <c r="AA77" i="1"/>
  <c r="Z77" i="1"/>
  <c r="AA76" i="1"/>
  <c r="Z76" i="1"/>
  <c r="AA75" i="1"/>
  <c r="Z75" i="1"/>
  <c r="AA74" i="1"/>
  <c r="Z74" i="1"/>
  <c r="AA73" i="1"/>
  <c r="Z73" i="1"/>
  <c r="AA72" i="1"/>
  <c r="Z72" i="1"/>
  <c r="AA71" i="1"/>
  <c r="Z71" i="1"/>
  <c r="AA70" i="1"/>
  <c r="Z70" i="1"/>
  <c r="AA69" i="1"/>
  <c r="Z69" i="1"/>
  <c r="AA68" i="1"/>
  <c r="Z68" i="1"/>
  <c r="AA67" i="1"/>
  <c r="Z67" i="1"/>
  <c r="AA66" i="1"/>
  <c r="Z66" i="1"/>
  <c r="AA65" i="1"/>
  <c r="Z65" i="1"/>
  <c r="AA64" i="1"/>
  <c r="Z64" i="1"/>
  <c r="AA63" i="1"/>
  <c r="Z63" i="1"/>
  <c r="AA62" i="1"/>
  <c r="Z62" i="1"/>
  <c r="AA61" i="1"/>
  <c r="Z61" i="1"/>
  <c r="AA60" i="1"/>
  <c r="Z60" i="1"/>
  <c r="AA59" i="1"/>
  <c r="Z59" i="1"/>
  <c r="AA58" i="1"/>
  <c r="Z58" i="1"/>
  <c r="AA57" i="1"/>
  <c r="Z57" i="1"/>
  <c r="AA56" i="1"/>
  <c r="Z56" i="1"/>
  <c r="AA55" i="1"/>
  <c r="Z55" i="1"/>
  <c r="AA54" i="1"/>
  <c r="Z54" i="1"/>
  <c r="AA53" i="1"/>
  <c r="Z53" i="1"/>
  <c r="AA52" i="1"/>
  <c r="Z52" i="1"/>
  <c r="AA51" i="1"/>
  <c r="Z51" i="1"/>
  <c r="AA50" i="1"/>
  <c r="Z50" i="1"/>
  <c r="AA49" i="1"/>
  <c r="Z49" i="1"/>
  <c r="AA48" i="1"/>
  <c r="Z48" i="1"/>
  <c r="AA47" i="1"/>
  <c r="Z47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Q51" i="1"/>
  <c r="R50" i="1"/>
  <c r="Q50" i="1"/>
  <c r="R49" i="1"/>
  <c r="Q49" i="1"/>
  <c r="R48" i="1"/>
  <c r="Q48" i="1"/>
  <c r="Q47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C74" i="1"/>
  <c r="C75" i="1"/>
  <c r="C76" i="1"/>
  <c r="C77" i="1"/>
  <c r="C78" i="1"/>
  <c r="C73" i="1"/>
  <c r="C68" i="1"/>
  <c r="C69" i="1"/>
  <c r="C70" i="1"/>
  <c r="C71" i="1"/>
  <c r="C72" i="1"/>
  <c r="C67" i="1"/>
  <c r="C58" i="1"/>
  <c r="C59" i="1"/>
  <c r="C60" i="1"/>
  <c r="C61" i="1"/>
  <c r="C62" i="1"/>
  <c r="C63" i="1"/>
  <c r="C64" i="1"/>
  <c r="C65" i="1"/>
  <c r="C66" i="1"/>
  <c r="C57" i="1"/>
  <c r="C48" i="1"/>
  <c r="C49" i="1"/>
  <c r="C50" i="1"/>
  <c r="C51" i="1"/>
  <c r="C52" i="1"/>
  <c r="C53" i="1"/>
  <c r="C54" i="1"/>
  <c r="C55" i="1"/>
  <c r="C56" i="1"/>
  <c r="C47" i="1"/>
  <c r="B74" i="1"/>
  <c r="B75" i="1"/>
  <c r="B76" i="1"/>
  <c r="B77" i="1"/>
  <c r="B78" i="1"/>
  <c r="B73" i="1"/>
  <c r="B68" i="1"/>
  <c r="B69" i="1"/>
  <c r="B70" i="1"/>
  <c r="B71" i="1"/>
  <c r="B72" i="1"/>
  <c r="B67" i="1"/>
  <c r="B58" i="1"/>
  <c r="B59" i="1"/>
  <c r="B60" i="1"/>
  <c r="B61" i="1"/>
  <c r="B62" i="1"/>
  <c r="B63" i="1"/>
  <c r="B64" i="1"/>
  <c r="B65" i="1"/>
  <c r="B66" i="1"/>
  <c r="B57" i="1"/>
  <c r="B48" i="1"/>
  <c r="B49" i="1"/>
  <c r="B50" i="1"/>
  <c r="B51" i="1"/>
  <c r="B52" i="1"/>
  <c r="B53" i="1"/>
  <c r="B54" i="1"/>
  <c r="B55" i="1"/>
  <c r="B56" i="1"/>
  <c r="B47" i="1"/>
</calcChain>
</file>

<file path=xl/sharedStrings.xml><?xml version="1.0" encoding="utf-8"?>
<sst xmlns="http://schemas.openxmlformats.org/spreadsheetml/2006/main" count="395" uniqueCount="55">
  <si>
    <t>META</t>
  </si>
  <si>
    <t>ADBE</t>
  </si>
  <si>
    <t>NVDA</t>
  </si>
  <si>
    <t>PANW</t>
  </si>
  <si>
    <t>MDB</t>
  </si>
  <si>
    <t>AMD</t>
  </si>
  <si>
    <t>DASH</t>
  </si>
  <si>
    <t>CRWD</t>
  </si>
  <si>
    <t>MELI</t>
  </si>
  <si>
    <t>TSLA</t>
  </si>
  <si>
    <t>APP</t>
  </si>
  <si>
    <t>AVGO</t>
  </si>
  <si>
    <t>MSTR</t>
  </si>
  <si>
    <t>PLTR</t>
  </si>
  <si>
    <t>ZS</t>
  </si>
  <si>
    <t>CEG</t>
  </si>
  <si>
    <t>FANG</t>
  </si>
  <si>
    <t>PDD</t>
  </si>
  <si>
    <t>MU</t>
  </si>
  <si>
    <t>QCOM</t>
  </si>
  <si>
    <t>KLAC</t>
  </si>
  <si>
    <t>AXON</t>
  </si>
  <si>
    <t>NFLX</t>
  </si>
  <si>
    <t>ARM</t>
  </si>
  <si>
    <t>TTD</t>
  </si>
  <si>
    <t>strategy 1</t>
  </si>
  <si>
    <t>strategy 2</t>
  </si>
  <si>
    <t>AAPL</t>
  </si>
  <si>
    <t>FTNT</t>
  </si>
  <si>
    <t>ILMN</t>
  </si>
  <si>
    <t>LULU</t>
  </si>
  <si>
    <t>VRSK</t>
  </si>
  <si>
    <t>WBD</t>
  </si>
  <si>
    <t>ADP</t>
  </si>
  <si>
    <t>strategy 3</t>
  </si>
  <si>
    <t>USMV</t>
  </si>
  <si>
    <t>VIG</t>
  </si>
  <si>
    <t>VTV</t>
  </si>
  <si>
    <t>DGRO</t>
  </si>
  <si>
    <t>QUAL</t>
  </si>
  <si>
    <t>VOO</t>
  </si>
  <si>
    <t>XLRE</t>
  </si>
  <si>
    <t>XLV</t>
  </si>
  <si>
    <t>XLP</t>
  </si>
  <si>
    <t>SPLV</t>
  </si>
  <si>
    <t>XLU</t>
  </si>
  <si>
    <t>SCHD</t>
  </si>
  <si>
    <t>strategy 4</t>
  </si>
  <si>
    <t>SHY</t>
  </si>
  <si>
    <t>XLK</t>
  </si>
  <si>
    <t>GLD</t>
  </si>
  <si>
    <t>DBC</t>
  </si>
  <si>
    <t>VTI</t>
  </si>
  <si>
    <t>VXUS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</si>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</sst>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  <xf numFmtId="168" fontId="0" fillId="0" borderId="0" xfId="1" applyNumberFormat="1" applyFont="1" applyAlignment="1">
      <alignment vertical="center" wrapText="1"/>
    </xf>
    <xf numFmtId="9" fontId="0" fillId="0" borderId="0" xfId="1" applyFont="1"/>
    <xf numFmtId="168" fontId="0" fillId="0" borderId="0" xfId="1" applyNumberFormat="1" applyFont="1"/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9"/>
  <sheetViews>
    <sheetView tabSelected="1" topLeftCell="A21" zoomScale="70" zoomScaleNormal="70" workbookViewId="0">
      <selection activeCell="I81" sqref="I81"/>
    </sheetView>
  </sheetViews>
  <sheetFormatPr defaultRowHeight="13.8" x14ac:dyDescent="0.25"/>
  <cols>
    <col min="1" max="1" width="9.19921875" bestFit="1" customWidth="1"/>
    <col min="2" max="2" width="10.19921875" customWidth="1"/>
    <col min="3" max="5" width="10.09765625" bestFit="1" customWidth="1"/>
    <col min="6" max="6" width="11.5" bestFit="1" customWidth="1"/>
    <col min="7" max="7" width="8.796875" customWidth="1"/>
    <col min="8" max="8" width="10.09765625" bestFit="1" customWidth="1"/>
    <col min="10" max="10" width="8.8984375" customWidth="1"/>
    <col min="11" max="11" width="10.09765625" bestFit="1" customWidth="1"/>
    <col min="12" max="12" width="6.19921875" bestFit="1" customWidth="1"/>
    <col min="14" max="14" width="10.09765625" bestFit="1" customWidth="1"/>
    <col min="15" max="15" width="6.19921875" bestFit="1" customWidth="1"/>
    <col min="17" max="17" width="10.09765625" bestFit="1" customWidth="1"/>
    <col min="18" max="18" width="6.19921875" bestFit="1" customWidth="1"/>
    <col min="20" max="20" width="10.09765625" bestFit="1" customWidth="1"/>
    <col min="21" max="21" width="6.19921875" bestFit="1" customWidth="1"/>
    <col min="23" max="23" width="10.09765625" bestFit="1" customWidth="1"/>
    <col min="24" max="24" width="6.19921875" bestFit="1" customWidth="1"/>
    <col min="26" max="26" width="10.09765625" bestFit="1" customWidth="1"/>
    <col min="27" max="27" width="6.19921875" bestFit="1" customWidth="1"/>
    <col min="29" max="29" width="10.09765625" bestFit="1" customWidth="1"/>
    <col min="30" max="30" width="6.19921875" bestFit="1" customWidth="1"/>
    <col min="32" max="32" width="10.09765625" bestFit="1" customWidth="1"/>
    <col min="33" max="33" width="6.19921875" bestFit="1" customWidth="1"/>
    <col min="35" max="35" width="10.09765625" bestFit="1" customWidth="1"/>
  </cols>
  <sheetData>
    <row r="1" spans="1:36" x14ac:dyDescent="0.25">
      <c r="A1" t="s">
        <v>25</v>
      </c>
      <c r="B1" s="1">
        <v>0.4</v>
      </c>
    </row>
    <row r="2" spans="1:36" x14ac:dyDescent="0.25">
      <c r="B2">
        <v>1</v>
      </c>
      <c r="E2">
        <v>2</v>
      </c>
      <c r="H2">
        <v>3</v>
      </c>
      <c r="K2">
        <v>4</v>
      </c>
      <c r="N2">
        <v>5</v>
      </c>
      <c r="Q2">
        <v>6</v>
      </c>
      <c r="T2">
        <v>7</v>
      </c>
      <c r="W2">
        <v>8</v>
      </c>
      <c r="Z2">
        <v>9</v>
      </c>
      <c r="AC2">
        <v>10</v>
      </c>
      <c r="AF2">
        <v>11</v>
      </c>
      <c r="AI2">
        <v>12</v>
      </c>
    </row>
    <row r="3" spans="1:36" x14ac:dyDescent="0.25">
      <c r="B3" s="2" t="s">
        <v>0</v>
      </c>
      <c r="C3" s="4">
        <v>0.24261744604784499</v>
      </c>
      <c r="E3" s="2" t="s">
        <v>0</v>
      </c>
      <c r="F3" s="4">
        <v>0.421632929563661</v>
      </c>
      <c r="G3" s="3"/>
      <c r="H3" s="2" t="s">
        <v>7</v>
      </c>
      <c r="I3" s="4">
        <v>0.24253664664566699</v>
      </c>
      <c r="K3" s="2" t="s">
        <v>11</v>
      </c>
      <c r="L3" s="4">
        <v>0.28674207808390201</v>
      </c>
      <c r="N3" s="2" t="s">
        <v>11</v>
      </c>
      <c r="O3" s="4">
        <v>0.24007063156306399</v>
      </c>
      <c r="Q3" s="2" t="s">
        <v>11</v>
      </c>
      <c r="R3" s="4">
        <v>0.33020825075770199</v>
      </c>
      <c r="T3" s="2" t="s">
        <v>16</v>
      </c>
      <c r="U3" s="4">
        <v>0.65373132102695597</v>
      </c>
      <c r="W3" s="2" t="s">
        <v>20</v>
      </c>
      <c r="X3" s="4">
        <v>0.20239990198062999</v>
      </c>
      <c r="Z3" s="2" t="s">
        <v>19</v>
      </c>
      <c r="AA3" s="4">
        <v>0.204960520149224</v>
      </c>
      <c r="AC3" s="2" t="s">
        <v>20</v>
      </c>
      <c r="AD3" s="4">
        <v>0.223972180395651</v>
      </c>
      <c r="AF3" s="2" t="s">
        <v>13</v>
      </c>
      <c r="AG3" s="4">
        <v>0.17423162392859801</v>
      </c>
      <c r="AI3" s="2" t="s">
        <v>24</v>
      </c>
      <c r="AJ3" s="4">
        <v>0.29945240847576099</v>
      </c>
    </row>
    <row r="4" spans="1:36" x14ac:dyDescent="0.25">
      <c r="B4" s="2" t="s">
        <v>1</v>
      </c>
      <c r="C4" s="4">
        <v>0.13004161265879</v>
      </c>
      <c r="E4" s="2" t="s">
        <v>10</v>
      </c>
      <c r="F4" s="4">
        <v>0.23737106524839599</v>
      </c>
      <c r="G4" s="3"/>
      <c r="H4" s="2" t="s">
        <v>5</v>
      </c>
      <c r="I4" s="4">
        <v>0.19313680907411199</v>
      </c>
      <c r="K4" s="2" t="s">
        <v>2</v>
      </c>
      <c r="L4" s="4">
        <v>0.15352574432460001</v>
      </c>
      <c r="N4" s="2" t="s">
        <v>7</v>
      </c>
      <c r="O4" s="4">
        <v>0.14953795569005901</v>
      </c>
      <c r="Q4" s="2" t="s">
        <v>16</v>
      </c>
      <c r="R4" s="4">
        <v>0.14141470600109801</v>
      </c>
      <c r="T4" s="2" t="s">
        <v>18</v>
      </c>
      <c r="U4" s="4">
        <v>6.46215328423832E-2</v>
      </c>
      <c r="W4" s="2" t="s">
        <v>21</v>
      </c>
      <c r="X4" s="4">
        <v>0.14590408380443201</v>
      </c>
      <c r="Z4" s="2" t="s">
        <v>20</v>
      </c>
      <c r="AA4" s="4">
        <v>0.15021390668576301</v>
      </c>
      <c r="AC4" s="2" t="s">
        <v>11</v>
      </c>
      <c r="AD4" s="4">
        <v>0.20763173362290699</v>
      </c>
      <c r="AF4" s="2" t="s">
        <v>6</v>
      </c>
      <c r="AG4" s="4">
        <v>0.17396967592894599</v>
      </c>
      <c r="AI4" s="2" t="s">
        <v>2</v>
      </c>
      <c r="AJ4" s="4">
        <v>0.18347674372485401</v>
      </c>
    </row>
    <row r="5" spans="1:36" x14ac:dyDescent="0.25">
      <c r="B5" s="2" t="s">
        <v>2</v>
      </c>
      <c r="C5" s="4">
        <v>0.107204361929272</v>
      </c>
      <c r="E5" s="2" t="s">
        <v>5</v>
      </c>
      <c r="F5" s="4">
        <v>9.0631244696862803E-2</v>
      </c>
      <c r="G5" s="3"/>
      <c r="H5" s="2" t="s">
        <v>1</v>
      </c>
      <c r="I5" s="4">
        <v>0.12884791471979701</v>
      </c>
      <c r="K5" s="2" t="s">
        <v>7</v>
      </c>
      <c r="L5" s="4">
        <v>0.13828687295747599</v>
      </c>
      <c r="N5" s="2" t="s">
        <v>14</v>
      </c>
      <c r="O5" s="4">
        <v>0.12758822118808599</v>
      </c>
      <c r="Q5" s="2" t="s">
        <v>10</v>
      </c>
      <c r="R5" s="4">
        <v>0.10003412477017</v>
      </c>
      <c r="T5" s="2" t="s">
        <v>10</v>
      </c>
      <c r="U5" s="4">
        <v>6.2631727077972404E-2</v>
      </c>
      <c r="W5" s="2" t="s">
        <v>0</v>
      </c>
      <c r="X5" s="4">
        <v>0.14004909582375799</v>
      </c>
      <c r="Z5" s="2" t="s">
        <v>15</v>
      </c>
      <c r="AA5" s="4">
        <v>0.12443750112858799</v>
      </c>
      <c r="AC5" s="2" t="s">
        <v>2</v>
      </c>
      <c r="AD5" s="4">
        <v>0.16514882482652599</v>
      </c>
      <c r="AF5" s="2" t="s">
        <v>11</v>
      </c>
      <c r="AG5" s="4">
        <v>0.15095600219007599</v>
      </c>
      <c r="AI5" s="2" t="s">
        <v>11</v>
      </c>
      <c r="AJ5" s="4">
        <v>0.12703313281033701</v>
      </c>
    </row>
    <row r="6" spans="1:36" x14ac:dyDescent="0.25">
      <c r="B6" s="2" t="s">
        <v>3</v>
      </c>
      <c r="C6" s="4">
        <v>9.81256433292029E-2</v>
      </c>
      <c r="E6" s="2" t="s">
        <v>11</v>
      </c>
      <c r="F6" s="4">
        <v>5.6919142123530699E-2</v>
      </c>
      <c r="G6" s="3"/>
      <c r="H6" s="2" t="s">
        <v>4</v>
      </c>
      <c r="I6" s="4">
        <v>0.10560153095416799</v>
      </c>
      <c r="K6" s="2" t="s">
        <v>5</v>
      </c>
      <c r="L6" s="4">
        <v>9.5278854495286405E-2</v>
      </c>
      <c r="N6" s="2" t="s">
        <v>6</v>
      </c>
      <c r="O6" s="4">
        <v>0.113121411179423</v>
      </c>
      <c r="Q6" s="2" t="s">
        <v>7</v>
      </c>
      <c r="R6" s="4">
        <v>9.9327656248053495E-2</v>
      </c>
      <c r="T6" s="2" t="s">
        <v>0</v>
      </c>
      <c r="U6" s="4">
        <v>4.2586508315041703E-2</v>
      </c>
      <c r="W6" s="2" t="s">
        <v>10</v>
      </c>
      <c r="X6" s="4">
        <v>9.9850650876982E-2</v>
      </c>
      <c r="Z6" s="2" t="s">
        <v>13</v>
      </c>
      <c r="AA6" s="4">
        <v>0.122067283592765</v>
      </c>
      <c r="AC6" s="2" t="s">
        <v>13</v>
      </c>
      <c r="AD6" s="4">
        <v>0.102771077243956</v>
      </c>
      <c r="AF6" s="2" t="s">
        <v>2</v>
      </c>
      <c r="AG6" s="4">
        <v>0.13976836426144801</v>
      </c>
      <c r="AI6" s="2" t="s">
        <v>0</v>
      </c>
      <c r="AJ6" s="4">
        <v>0.124339688718441</v>
      </c>
    </row>
    <row r="7" spans="1:36" x14ac:dyDescent="0.25">
      <c r="B7" s="2" t="s">
        <v>4</v>
      </c>
      <c r="C7" s="4">
        <v>9.0014822405574998E-2</v>
      </c>
      <c r="E7" s="2" t="s">
        <v>2</v>
      </c>
      <c r="F7" s="4">
        <v>4.9355693738000798E-2</v>
      </c>
      <c r="G7" s="3"/>
      <c r="H7" s="2" t="s">
        <v>11</v>
      </c>
      <c r="I7" s="4">
        <v>0.104546974718567</v>
      </c>
      <c r="K7" s="2" t="s">
        <v>0</v>
      </c>
      <c r="L7" s="4">
        <v>8.4364331981354998E-2</v>
      </c>
      <c r="N7" s="2" t="s">
        <v>2</v>
      </c>
      <c r="O7" s="4">
        <v>8.92525430405018E-2</v>
      </c>
      <c r="Q7" s="2" t="s">
        <v>15</v>
      </c>
      <c r="R7" s="4">
        <v>9.6290195260517103E-2</v>
      </c>
      <c r="T7" s="2" t="s">
        <v>15</v>
      </c>
      <c r="U7" s="4">
        <v>3.84139701078164E-2</v>
      </c>
      <c r="W7" s="2" t="s">
        <v>11</v>
      </c>
      <c r="X7" s="4">
        <v>9.8185860320265703E-2</v>
      </c>
      <c r="Z7" s="2" t="s">
        <v>0</v>
      </c>
      <c r="AA7" s="4">
        <v>8.8728720912090303E-2</v>
      </c>
      <c r="AC7" s="2" t="s">
        <v>22</v>
      </c>
      <c r="AD7" s="4">
        <v>7.3506891693834606E-2</v>
      </c>
      <c r="AF7" s="2" t="s">
        <v>0</v>
      </c>
      <c r="AG7" s="4">
        <v>9.7306436929016402E-2</v>
      </c>
      <c r="AI7" s="2" t="s">
        <v>23</v>
      </c>
      <c r="AJ7" s="4">
        <v>0.110049568572141</v>
      </c>
    </row>
    <row r="8" spans="1:36" x14ac:dyDescent="0.25">
      <c r="B8" s="2" t="s">
        <v>5</v>
      </c>
      <c r="C8" s="4">
        <v>7.3499600347305696E-2</v>
      </c>
      <c r="E8" s="2" t="s">
        <v>3</v>
      </c>
      <c r="F8" s="4">
        <v>4.1143212906507701E-2</v>
      </c>
      <c r="G8" s="3"/>
      <c r="H8" s="2" t="s">
        <v>0</v>
      </c>
      <c r="I8" s="4">
        <v>8.6279100437778394E-2</v>
      </c>
      <c r="K8" s="2" t="s">
        <v>14</v>
      </c>
      <c r="L8" s="4">
        <v>7.7990766700871905E-2</v>
      </c>
      <c r="N8" s="2" t="s">
        <v>0</v>
      </c>
      <c r="O8" s="4">
        <v>7.6944975152870507E-2</v>
      </c>
      <c r="Q8" s="2" t="s">
        <v>6</v>
      </c>
      <c r="R8" s="4">
        <v>6.1531426867305797E-2</v>
      </c>
      <c r="T8" s="2" t="s">
        <v>19</v>
      </c>
      <c r="U8" s="4">
        <v>3.2634979270317901E-2</v>
      </c>
      <c r="W8" s="2" t="s">
        <v>15</v>
      </c>
      <c r="X8" s="4">
        <v>8.3822856573593105E-2</v>
      </c>
      <c r="Z8" s="2" t="s">
        <v>2</v>
      </c>
      <c r="AA8" s="4">
        <v>8.4169542984918397E-2</v>
      </c>
      <c r="AC8" s="2" t="s">
        <v>21</v>
      </c>
      <c r="AD8" s="4">
        <v>6.8676728210402202E-2</v>
      </c>
      <c r="AF8" s="2" t="s">
        <v>23</v>
      </c>
      <c r="AG8" s="4">
        <v>7.7537678441232702E-2</v>
      </c>
      <c r="AI8" s="2" t="s">
        <v>12</v>
      </c>
      <c r="AJ8" s="4">
        <v>4.54955064150167E-2</v>
      </c>
    </row>
    <row r="9" spans="1:36" x14ac:dyDescent="0.25">
      <c r="B9" s="2" t="s">
        <v>6</v>
      </c>
      <c r="C9" s="4">
        <v>7.1489367965919398E-2</v>
      </c>
      <c r="E9" s="2" t="s">
        <v>4</v>
      </c>
      <c r="F9" s="4">
        <v>3.4870192231597701E-2</v>
      </c>
      <c r="G9" s="3"/>
      <c r="H9" s="2" t="s">
        <v>2</v>
      </c>
      <c r="I9" s="4">
        <v>6.88565847027795E-2</v>
      </c>
      <c r="K9" s="2" t="s">
        <v>15</v>
      </c>
      <c r="L9" s="4">
        <v>6.2608002215906899E-2</v>
      </c>
      <c r="N9" s="2" t="s">
        <v>15</v>
      </c>
      <c r="O9" s="4">
        <v>7.5595522086487593E-2</v>
      </c>
      <c r="Q9" s="2" t="s">
        <v>17</v>
      </c>
      <c r="R9" s="4">
        <v>6.0240946324006298E-2</v>
      </c>
      <c r="T9" s="2" t="s">
        <v>7</v>
      </c>
      <c r="U9" s="4">
        <v>3.1385400424785201E-2</v>
      </c>
      <c r="W9" s="2" t="s">
        <v>18</v>
      </c>
      <c r="X9" s="4">
        <v>7.9843395811825799E-2</v>
      </c>
      <c r="Z9" s="2" t="s">
        <v>18</v>
      </c>
      <c r="AA9" s="4">
        <v>6.6100035077019295E-2</v>
      </c>
      <c r="AC9" s="2" t="s">
        <v>23</v>
      </c>
      <c r="AD9" s="4">
        <v>6.6282358916974995E-2</v>
      </c>
      <c r="AF9" s="2" t="s">
        <v>21</v>
      </c>
      <c r="AG9" s="4">
        <v>7.3090218706730603E-2</v>
      </c>
      <c r="AI9" s="2" t="s">
        <v>15</v>
      </c>
      <c r="AJ9" s="4">
        <v>3.74231548553694E-2</v>
      </c>
    </row>
    <row r="10" spans="1:36" x14ac:dyDescent="0.25">
      <c r="B10" s="2" t="s">
        <v>7</v>
      </c>
      <c r="C10" s="4">
        <v>7.1105986884222899E-2</v>
      </c>
      <c r="E10" s="2" t="s">
        <v>7</v>
      </c>
      <c r="F10" s="4">
        <v>3.3144243443515901E-2</v>
      </c>
      <c r="G10" s="3"/>
      <c r="H10" s="2" t="s">
        <v>10</v>
      </c>
      <c r="I10" s="4">
        <v>3.5446413149554101E-2</v>
      </c>
      <c r="K10" s="2" t="s">
        <v>10</v>
      </c>
      <c r="L10" s="4">
        <v>5.2522233502489198E-2</v>
      </c>
      <c r="N10" s="2" t="s">
        <v>10</v>
      </c>
      <c r="O10" s="4">
        <v>6.68158548385685E-2</v>
      </c>
      <c r="Q10" s="2" t="s">
        <v>2</v>
      </c>
      <c r="R10" s="4">
        <v>5.0460540232294702E-2</v>
      </c>
      <c r="T10" s="2" t="s">
        <v>17</v>
      </c>
      <c r="U10" s="4">
        <v>3.1154708558946798E-2</v>
      </c>
      <c r="W10" s="2" t="s">
        <v>2</v>
      </c>
      <c r="X10" s="4">
        <v>7.0991714347201806E-2</v>
      </c>
      <c r="Z10" s="2" t="s">
        <v>11</v>
      </c>
      <c r="AA10" s="4">
        <v>6.41114191485712E-2</v>
      </c>
      <c r="AC10" s="2" t="s">
        <v>15</v>
      </c>
      <c r="AD10" s="4">
        <v>3.4955308190596598E-2</v>
      </c>
      <c r="AF10" s="2" t="s">
        <v>10</v>
      </c>
      <c r="AG10" s="4">
        <v>5.9701800330612398E-2</v>
      </c>
      <c r="AI10" s="2" t="s">
        <v>21</v>
      </c>
      <c r="AJ10" s="4">
        <v>2.72793431968964E-2</v>
      </c>
    </row>
    <row r="11" spans="1:36" x14ac:dyDescent="0.25">
      <c r="B11" s="2" t="s">
        <v>8</v>
      </c>
      <c r="C11" s="4">
        <v>5.8817326365345202E-2</v>
      </c>
      <c r="E11" s="2" t="s">
        <v>12</v>
      </c>
      <c r="F11" s="4">
        <v>1.7999843931585598E-2</v>
      </c>
      <c r="G11" s="3"/>
      <c r="H11" s="2" t="s">
        <v>13</v>
      </c>
      <c r="I11" s="4">
        <v>2.15761594965663E-2</v>
      </c>
      <c r="K11" s="2" t="s">
        <v>13</v>
      </c>
      <c r="L11" s="4">
        <v>3.1010305879634801E-2</v>
      </c>
      <c r="N11" s="2" t="s">
        <v>13</v>
      </c>
      <c r="O11" s="4">
        <v>4.0972695588854399E-2</v>
      </c>
      <c r="Q11" s="2" t="s">
        <v>18</v>
      </c>
      <c r="R11" s="4">
        <v>4.5968687253979901E-2</v>
      </c>
      <c r="T11" s="2" t="s">
        <v>2</v>
      </c>
      <c r="U11" s="4">
        <v>3.0995854718753699E-2</v>
      </c>
      <c r="W11" s="2" t="s">
        <v>12</v>
      </c>
      <c r="X11" s="4">
        <v>4.3357354398466198E-2</v>
      </c>
      <c r="Z11" s="2" t="s">
        <v>10</v>
      </c>
      <c r="AA11" s="4">
        <v>5.3824519544644199E-2</v>
      </c>
      <c r="AC11" s="2" t="s">
        <v>12</v>
      </c>
      <c r="AD11" s="4">
        <v>2.86996427159967E-2</v>
      </c>
      <c r="AF11" s="2" t="s">
        <v>15</v>
      </c>
      <c r="AG11" s="4">
        <v>3.4935930850051998E-2</v>
      </c>
      <c r="AI11" s="2" t="s">
        <v>13</v>
      </c>
      <c r="AJ11" s="4">
        <v>2.6310612229359001E-2</v>
      </c>
    </row>
    <row r="12" spans="1:36" x14ac:dyDescent="0.25">
      <c r="B12" s="2" t="s">
        <v>9</v>
      </c>
      <c r="C12" s="4">
        <v>5.7083832066520603E-2</v>
      </c>
      <c r="E12" s="2" t="s">
        <v>13</v>
      </c>
      <c r="F12" s="4">
        <v>1.6932432116340299E-2</v>
      </c>
      <c r="G12" s="3"/>
      <c r="H12" s="2" t="s">
        <v>12</v>
      </c>
      <c r="I12" s="4">
        <v>1.3171866101007601E-2</v>
      </c>
      <c r="K12" s="2" t="s">
        <v>12</v>
      </c>
      <c r="L12" s="4">
        <v>1.7670809858476098E-2</v>
      </c>
      <c r="N12" s="2" t="s">
        <v>12</v>
      </c>
      <c r="O12" s="4">
        <v>2.01001896720828E-2</v>
      </c>
      <c r="Q12" s="2" t="s">
        <v>12</v>
      </c>
      <c r="R12" s="4">
        <v>1.452346628487E-2</v>
      </c>
      <c r="T12" s="2" t="s">
        <v>12</v>
      </c>
      <c r="U12" s="4">
        <v>1.18439976570258E-2</v>
      </c>
      <c r="W12" s="2" t="s">
        <v>7</v>
      </c>
      <c r="X12" s="4">
        <v>3.5595086062844797E-2</v>
      </c>
      <c r="Z12" s="2" t="s">
        <v>12</v>
      </c>
      <c r="AA12" s="4">
        <v>4.1386550776413303E-2</v>
      </c>
      <c r="AC12" s="2" t="s">
        <v>10</v>
      </c>
      <c r="AD12" s="4">
        <v>2.8355254183153399E-2</v>
      </c>
      <c r="AF12" s="2" t="s">
        <v>12</v>
      </c>
      <c r="AG12" s="4">
        <v>1.85022684332849E-2</v>
      </c>
      <c r="AI12" s="2" t="s">
        <v>10</v>
      </c>
      <c r="AJ12" s="4">
        <v>1.9139841001822502E-2</v>
      </c>
    </row>
    <row r="14" spans="1:36" x14ac:dyDescent="0.25">
      <c r="A14" t="s">
        <v>26</v>
      </c>
      <c r="B14" s="1">
        <v>0.3</v>
      </c>
    </row>
    <row r="15" spans="1:36" x14ac:dyDescent="0.25">
      <c r="B15">
        <v>1</v>
      </c>
      <c r="E15">
        <v>2</v>
      </c>
      <c r="H15">
        <v>3</v>
      </c>
      <c r="K15">
        <v>4</v>
      </c>
      <c r="N15">
        <v>5</v>
      </c>
      <c r="Q15">
        <v>6</v>
      </c>
      <c r="T15">
        <v>7</v>
      </c>
      <c r="W15">
        <v>8</v>
      </c>
      <c r="Z15">
        <v>9</v>
      </c>
      <c r="AC15">
        <v>10</v>
      </c>
      <c r="AF15">
        <v>11</v>
      </c>
      <c r="AI15">
        <v>12</v>
      </c>
    </row>
    <row r="16" spans="1:36" x14ac:dyDescent="0.25">
      <c r="B16" s="2" t="s">
        <v>27</v>
      </c>
      <c r="C16" s="1">
        <v>0.1</v>
      </c>
      <c r="E16" s="2" t="s">
        <v>27</v>
      </c>
      <c r="F16" s="1">
        <v>0.1</v>
      </c>
      <c r="H16" s="2" t="s">
        <v>27</v>
      </c>
      <c r="I16" s="6">
        <v>0.1</v>
      </c>
      <c r="K16" s="2" t="s">
        <v>27</v>
      </c>
      <c r="L16" s="6">
        <v>0.1</v>
      </c>
      <c r="N16" s="2" t="s">
        <v>27</v>
      </c>
      <c r="O16" s="6">
        <v>0.1</v>
      </c>
      <c r="Q16" s="2" t="s">
        <v>27</v>
      </c>
      <c r="R16" s="6">
        <v>0.1</v>
      </c>
      <c r="T16" s="2" t="s">
        <v>27</v>
      </c>
      <c r="U16" s="6">
        <v>0.1</v>
      </c>
      <c r="W16" s="2" t="s">
        <v>27</v>
      </c>
      <c r="X16" s="6">
        <v>0.1</v>
      </c>
      <c r="Z16" s="2" t="s">
        <v>27</v>
      </c>
      <c r="AA16" s="6">
        <v>0.1</v>
      </c>
      <c r="AC16" s="2" t="s">
        <v>27</v>
      </c>
      <c r="AD16" s="6">
        <v>0.1</v>
      </c>
      <c r="AF16" s="2" t="s">
        <v>27</v>
      </c>
      <c r="AG16" s="6">
        <v>0.1</v>
      </c>
      <c r="AI16" s="2" t="s">
        <v>27</v>
      </c>
      <c r="AJ16" s="6">
        <v>0.1</v>
      </c>
    </row>
    <row r="17" spans="1:36" x14ac:dyDescent="0.25">
      <c r="B17" s="2" t="s">
        <v>1</v>
      </c>
      <c r="C17" s="1">
        <v>0.1</v>
      </c>
      <c r="E17" s="2" t="s">
        <v>1</v>
      </c>
      <c r="F17" s="1">
        <v>0.1</v>
      </c>
      <c r="H17" s="2" t="s">
        <v>1</v>
      </c>
      <c r="I17" s="6">
        <v>0.1</v>
      </c>
      <c r="K17" s="2" t="s">
        <v>1</v>
      </c>
      <c r="L17" s="6">
        <v>0.1</v>
      </c>
      <c r="N17" s="2" t="s">
        <v>1</v>
      </c>
      <c r="O17" s="6">
        <v>0.1</v>
      </c>
      <c r="Q17" s="2" t="s">
        <v>1</v>
      </c>
      <c r="R17" s="6">
        <v>0.1</v>
      </c>
      <c r="T17" s="2" t="s">
        <v>1</v>
      </c>
      <c r="U17" s="6">
        <v>0.1</v>
      </c>
      <c r="W17" s="2" t="s">
        <v>1</v>
      </c>
      <c r="X17" s="6">
        <v>0.1</v>
      </c>
      <c r="Z17" s="2" t="s">
        <v>1</v>
      </c>
      <c r="AA17" s="6">
        <v>0.1</v>
      </c>
      <c r="AC17" s="2" t="s">
        <v>1</v>
      </c>
      <c r="AD17" s="6">
        <v>0.1</v>
      </c>
      <c r="AF17" s="2" t="s">
        <v>1</v>
      </c>
      <c r="AG17" s="6">
        <v>0.1</v>
      </c>
      <c r="AI17" s="2" t="s">
        <v>1</v>
      </c>
      <c r="AJ17" s="6">
        <v>0.1</v>
      </c>
    </row>
    <row r="18" spans="1:36" x14ac:dyDescent="0.25">
      <c r="B18" s="2" t="s">
        <v>28</v>
      </c>
      <c r="C18" s="1">
        <v>0.1</v>
      </c>
      <c r="E18" s="2" t="s">
        <v>33</v>
      </c>
      <c r="F18" s="1">
        <v>0.1</v>
      </c>
      <c r="H18" s="2" t="s">
        <v>33</v>
      </c>
      <c r="I18" s="6">
        <v>0.1</v>
      </c>
      <c r="K18" s="2" t="s">
        <v>33</v>
      </c>
      <c r="L18" s="6">
        <v>0.1</v>
      </c>
      <c r="N18" s="2" t="s">
        <v>33</v>
      </c>
      <c r="O18" s="6">
        <v>0.1</v>
      </c>
      <c r="Q18" s="2" t="s">
        <v>33</v>
      </c>
      <c r="R18" s="6">
        <v>0.1</v>
      </c>
      <c r="T18" s="2" t="s">
        <v>33</v>
      </c>
      <c r="U18" s="6">
        <v>0.1</v>
      </c>
      <c r="W18" s="2" t="s">
        <v>33</v>
      </c>
      <c r="X18" s="6">
        <v>0.1</v>
      </c>
      <c r="Z18" s="2" t="s">
        <v>33</v>
      </c>
      <c r="AA18" s="6">
        <v>0.1</v>
      </c>
      <c r="AC18" s="2" t="s">
        <v>33</v>
      </c>
      <c r="AD18" s="6">
        <v>0.1</v>
      </c>
      <c r="AF18" s="2" t="s">
        <v>33</v>
      </c>
      <c r="AG18" s="6">
        <v>0.1</v>
      </c>
      <c r="AI18" s="2" t="s">
        <v>33</v>
      </c>
      <c r="AJ18" s="6">
        <v>0.1</v>
      </c>
    </row>
    <row r="19" spans="1:36" x14ac:dyDescent="0.25">
      <c r="B19" s="2" t="s">
        <v>29</v>
      </c>
      <c r="C19" s="1">
        <v>0.1</v>
      </c>
      <c r="E19" s="2" t="s">
        <v>10</v>
      </c>
      <c r="F19" s="1">
        <v>0.1</v>
      </c>
      <c r="H19" s="2" t="s">
        <v>10</v>
      </c>
      <c r="I19" s="6">
        <v>0.1</v>
      </c>
      <c r="K19" s="2" t="s">
        <v>10</v>
      </c>
      <c r="L19" s="6">
        <v>0.1</v>
      </c>
      <c r="N19" s="2" t="s">
        <v>10</v>
      </c>
      <c r="O19" s="6">
        <v>0.1</v>
      </c>
      <c r="Q19" s="2" t="s">
        <v>10</v>
      </c>
      <c r="R19" s="6">
        <v>0.1</v>
      </c>
      <c r="T19" s="2" t="s">
        <v>10</v>
      </c>
      <c r="U19" s="6">
        <v>0.1</v>
      </c>
      <c r="W19" s="2" t="s">
        <v>10</v>
      </c>
      <c r="X19" s="6">
        <v>0.1</v>
      </c>
      <c r="Z19" s="2" t="s">
        <v>10</v>
      </c>
      <c r="AA19" s="6">
        <v>0.1</v>
      </c>
      <c r="AC19" s="2" t="s">
        <v>10</v>
      </c>
      <c r="AD19" s="6">
        <v>0.1</v>
      </c>
      <c r="AF19" s="2" t="s">
        <v>10</v>
      </c>
      <c r="AG19" s="6">
        <v>0.1</v>
      </c>
      <c r="AI19" s="2" t="s">
        <v>10</v>
      </c>
      <c r="AJ19" s="6">
        <v>0.1</v>
      </c>
    </row>
    <row r="20" spans="1:36" x14ac:dyDescent="0.25">
      <c r="B20" s="2" t="s">
        <v>20</v>
      </c>
      <c r="C20" s="1">
        <v>0.1</v>
      </c>
      <c r="E20" s="2" t="s">
        <v>28</v>
      </c>
      <c r="F20" s="1">
        <v>0.1</v>
      </c>
      <c r="H20" s="2" t="s">
        <v>28</v>
      </c>
      <c r="I20" s="6">
        <v>0.1</v>
      </c>
      <c r="K20" s="2" t="s">
        <v>28</v>
      </c>
      <c r="L20" s="6">
        <v>0.1</v>
      </c>
      <c r="N20" s="2" t="s">
        <v>28</v>
      </c>
      <c r="O20" s="6">
        <v>0.1</v>
      </c>
      <c r="Q20" s="2" t="s">
        <v>28</v>
      </c>
      <c r="R20" s="6">
        <v>0.1</v>
      </c>
      <c r="T20" s="2" t="s">
        <v>28</v>
      </c>
      <c r="U20" s="6">
        <v>0.1</v>
      </c>
      <c r="W20" s="2" t="s">
        <v>28</v>
      </c>
      <c r="X20" s="6">
        <v>0.1</v>
      </c>
      <c r="Z20" s="2" t="s">
        <v>28</v>
      </c>
      <c r="AA20" s="6">
        <v>0.1</v>
      </c>
      <c r="AC20" s="2" t="s">
        <v>28</v>
      </c>
      <c r="AD20" s="6">
        <v>0.1</v>
      </c>
      <c r="AF20" s="2" t="s">
        <v>28</v>
      </c>
      <c r="AG20" s="6">
        <v>0.1</v>
      </c>
      <c r="AI20" s="2" t="s">
        <v>28</v>
      </c>
      <c r="AJ20" s="6">
        <v>0.1</v>
      </c>
    </row>
    <row r="21" spans="1:36" x14ac:dyDescent="0.25">
      <c r="B21" s="2" t="s">
        <v>30</v>
      </c>
      <c r="C21" s="1">
        <v>0.1</v>
      </c>
      <c r="E21" s="2" t="s">
        <v>20</v>
      </c>
      <c r="F21" s="1">
        <v>0.1</v>
      </c>
      <c r="H21" s="2" t="s">
        <v>20</v>
      </c>
      <c r="I21" s="6">
        <v>0.1</v>
      </c>
      <c r="K21" s="2" t="s">
        <v>20</v>
      </c>
      <c r="L21" s="6">
        <v>0.1</v>
      </c>
      <c r="N21" s="2" t="s">
        <v>20</v>
      </c>
      <c r="O21" s="6">
        <v>0.1</v>
      </c>
      <c r="Q21" s="2" t="s">
        <v>20</v>
      </c>
      <c r="R21" s="6">
        <v>0.1</v>
      </c>
      <c r="T21" s="2" t="s">
        <v>20</v>
      </c>
      <c r="U21" s="6">
        <v>0.1</v>
      </c>
      <c r="W21" s="2" t="s">
        <v>20</v>
      </c>
      <c r="X21" s="6">
        <v>0.1</v>
      </c>
      <c r="Z21" s="2" t="s">
        <v>20</v>
      </c>
      <c r="AA21" s="6">
        <v>0.1</v>
      </c>
      <c r="AC21" s="2" t="s">
        <v>20</v>
      </c>
      <c r="AD21" s="6">
        <v>0.1</v>
      </c>
      <c r="AF21" s="2" t="s">
        <v>20</v>
      </c>
      <c r="AG21" s="6">
        <v>0.1</v>
      </c>
      <c r="AI21" s="2" t="s">
        <v>20</v>
      </c>
      <c r="AJ21" s="6">
        <v>0.1</v>
      </c>
    </row>
    <row r="22" spans="1:36" x14ac:dyDescent="0.25">
      <c r="B22" s="2" t="s">
        <v>2</v>
      </c>
      <c r="C22" s="1">
        <v>0.1</v>
      </c>
      <c r="E22" s="2" t="s">
        <v>2</v>
      </c>
      <c r="F22" s="1">
        <v>0.1</v>
      </c>
      <c r="H22" s="2" t="s">
        <v>2</v>
      </c>
      <c r="I22" s="6">
        <v>0.1</v>
      </c>
      <c r="K22" s="2" t="s">
        <v>2</v>
      </c>
      <c r="L22" s="6">
        <v>0.1</v>
      </c>
      <c r="N22" s="2" t="s">
        <v>2</v>
      </c>
      <c r="O22" s="6">
        <v>0.1</v>
      </c>
      <c r="Q22" s="2" t="s">
        <v>2</v>
      </c>
      <c r="R22" s="6">
        <v>0.1</v>
      </c>
      <c r="T22" s="2" t="s">
        <v>2</v>
      </c>
      <c r="U22" s="6">
        <v>0.1</v>
      </c>
      <c r="W22" s="2" t="s">
        <v>2</v>
      </c>
      <c r="X22" s="6">
        <v>0.1</v>
      </c>
      <c r="Z22" s="2" t="s">
        <v>2</v>
      </c>
      <c r="AA22" s="6">
        <v>0.1</v>
      </c>
      <c r="AC22" s="2" t="s">
        <v>2</v>
      </c>
      <c r="AD22" s="6">
        <v>0.1</v>
      </c>
      <c r="AF22" s="2" t="s">
        <v>2</v>
      </c>
      <c r="AG22" s="6">
        <v>0.1</v>
      </c>
      <c r="AI22" s="2" t="s">
        <v>2</v>
      </c>
      <c r="AJ22" s="6">
        <v>0.1</v>
      </c>
    </row>
    <row r="23" spans="1:36" x14ac:dyDescent="0.25">
      <c r="B23" s="2" t="s">
        <v>17</v>
      </c>
      <c r="C23" s="1">
        <v>0.1</v>
      </c>
      <c r="E23" s="2" t="s">
        <v>17</v>
      </c>
      <c r="F23" s="1">
        <v>0.1</v>
      </c>
      <c r="H23" s="2" t="s">
        <v>17</v>
      </c>
      <c r="I23" s="6">
        <v>0.1</v>
      </c>
      <c r="K23" s="2" t="s">
        <v>17</v>
      </c>
      <c r="L23" s="6">
        <v>0.1</v>
      </c>
      <c r="N23" s="2" t="s">
        <v>17</v>
      </c>
      <c r="O23" s="6">
        <v>0.1</v>
      </c>
      <c r="Q23" s="2" t="s">
        <v>17</v>
      </c>
      <c r="R23" s="6">
        <v>0.1</v>
      </c>
      <c r="T23" s="2" t="s">
        <v>17</v>
      </c>
      <c r="U23" s="6">
        <v>0.1</v>
      </c>
      <c r="W23" s="2" t="s">
        <v>17</v>
      </c>
      <c r="X23" s="6">
        <v>0.1</v>
      </c>
      <c r="Z23" s="2" t="s">
        <v>17</v>
      </c>
      <c r="AA23" s="6">
        <v>0.1</v>
      </c>
      <c r="AC23" s="2" t="s">
        <v>17</v>
      </c>
      <c r="AD23" s="6">
        <v>0.1</v>
      </c>
      <c r="AF23" s="2" t="s">
        <v>17</v>
      </c>
      <c r="AG23" s="6">
        <v>0.1</v>
      </c>
      <c r="AI23" s="2" t="s">
        <v>17</v>
      </c>
      <c r="AJ23" s="6">
        <v>0.1</v>
      </c>
    </row>
    <row r="24" spans="1:36" x14ac:dyDescent="0.25">
      <c r="B24" s="2" t="s">
        <v>31</v>
      </c>
      <c r="C24" s="1">
        <v>0.1</v>
      </c>
      <c r="E24" s="2" t="s">
        <v>31</v>
      </c>
      <c r="F24" s="1">
        <v>0.1</v>
      </c>
      <c r="H24" s="2" t="s">
        <v>31</v>
      </c>
      <c r="I24" s="6">
        <v>0.1</v>
      </c>
      <c r="K24" s="2" t="s">
        <v>31</v>
      </c>
      <c r="L24" s="6">
        <v>0.1</v>
      </c>
      <c r="N24" s="2" t="s">
        <v>31</v>
      </c>
      <c r="O24" s="6">
        <v>0.1</v>
      </c>
      <c r="Q24" s="2" t="s">
        <v>31</v>
      </c>
      <c r="R24" s="6">
        <v>0.1</v>
      </c>
      <c r="T24" s="2" t="s">
        <v>31</v>
      </c>
      <c r="U24" s="6">
        <v>0.1</v>
      </c>
      <c r="W24" s="2" t="s">
        <v>31</v>
      </c>
      <c r="X24" s="6">
        <v>0.1</v>
      </c>
      <c r="Z24" s="2" t="s">
        <v>31</v>
      </c>
      <c r="AA24" s="6">
        <v>0.1</v>
      </c>
      <c r="AC24" s="2" t="s">
        <v>31</v>
      </c>
      <c r="AD24" s="6">
        <v>0.1</v>
      </c>
      <c r="AF24" s="2" t="s">
        <v>31</v>
      </c>
      <c r="AG24" s="6">
        <v>0.1</v>
      </c>
      <c r="AI24" s="2" t="s">
        <v>31</v>
      </c>
      <c r="AJ24" s="6">
        <v>0.1</v>
      </c>
    </row>
    <row r="25" spans="1:36" x14ac:dyDescent="0.25">
      <c r="B25" s="2" t="s">
        <v>32</v>
      </c>
      <c r="C25" s="1">
        <v>0.1</v>
      </c>
      <c r="E25" s="2" t="s">
        <v>32</v>
      </c>
      <c r="F25" s="1">
        <v>0.1</v>
      </c>
      <c r="H25" s="2" t="s">
        <v>32</v>
      </c>
      <c r="I25" s="6">
        <v>0.1</v>
      </c>
      <c r="K25" s="2" t="s">
        <v>32</v>
      </c>
      <c r="L25" s="6">
        <v>0.1</v>
      </c>
      <c r="N25" s="2" t="s">
        <v>32</v>
      </c>
      <c r="O25" s="6">
        <v>0.1</v>
      </c>
      <c r="Q25" s="2" t="s">
        <v>32</v>
      </c>
      <c r="R25" s="6">
        <v>0.1</v>
      </c>
      <c r="T25" s="2" t="s">
        <v>32</v>
      </c>
      <c r="U25" s="6">
        <v>0.1</v>
      </c>
      <c r="W25" s="2" t="s">
        <v>32</v>
      </c>
      <c r="X25" s="6">
        <v>0.1</v>
      </c>
      <c r="Z25" s="2" t="s">
        <v>32</v>
      </c>
      <c r="AA25" s="6">
        <v>0.1</v>
      </c>
      <c r="AC25" s="2" t="s">
        <v>32</v>
      </c>
      <c r="AD25" s="6">
        <v>0.1</v>
      </c>
      <c r="AF25" s="2" t="s">
        <v>32</v>
      </c>
      <c r="AG25" s="6">
        <v>0.1</v>
      </c>
      <c r="AI25" s="2" t="s">
        <v>32</v>
      </c>
      <c r="AJ25" s="6">
        <v>0.1</v>
      </c>
    </row>
    <row r="27" spans="1:36" x14ac:dyDescent="0.25">
      <c r="A27" t="s">
        <v>34</v>
      </c>
      <c r="B27" s="1">
        <v>0.2</v>
      </c>
    </row>
    <row r="28" spans="1:36" x14ac:dyDescent="0.25">
      <c r="B28">
        <v>1</v>
      </c>
      <c r="E28">
        <v>2</v>
      </c>
      <c r="H28">
        <v>3</v>
      </c>
      <c r="K28">
        <v>4</v>
      </c>
      <c r="N28">
        <v>5</v>
      </c>
      <c r="Q28">
        <v>6</v>
      </c>
      <c r="T28">
        <v>7</v>
      </c>
      <c r="W28">
        <v>8</v>
      </c>
      <c r="Z28">
        <v>9</v>
      </c>
      <c r="AC28">
        <v>10</v>
      </c>
      <c r="AF28">
        <v>11</v>
      </c>
      <c r="AI28">
        <v>12</v>
      </c>
    </row>
    <row r="29" spans="1:36" x14ac:dyDescent="0.25">
      <c r="B29" s="2" t="s">
        <v>35</v>
      </c>
      <c r="C29" s="4">
        <v>0.200470252607995</v>
      </c>
      <c r="E29" s="2" t="s">
        <v>35</v>
      </c>
      <c r="F29" s="2">
        <v>0.207116001091011</v>
      </c>
      <c r="H29" s="2" t="s">
        <v>35</v>
      </c>
      <c r="I29" s="6">
        <v>0.196175364926131</v>
      </c>
      <c r="K29" s="2" t="s">
        <v>43</v>
      </c>
      <c r="L29" s="6">
        <v>0.19957238646388101</v>
      </c>
      <c r="N29" s="2" t="s">
        <v>43</v>
      </c>
      <c r="O29" s="6">
        <v>0.24897197356318801</v>
      </c>
      <c r="Q29" s="2" t="s">
        <v>43</v>
      </c>
      <c r="R29" s="6">
        <v>0.24577550313093099</v>
      </c>
      <c r="T29" s="2" t="s">
        <v>43</v>
      </c>
      <c r="U29" s="6">
        <v>0.243985319346436</v>
      </c>
      <c r="W29" s="2" t="s">
        <v>43</v>
      </c>
      <c r="X29" s="6">
        <v>0.24556901873546599</v>
      </c>
      <c r="Z29" s="2" t="s">
        <v>36</v>
      </c>
      <c r="AA29" s="6">
        <v>0.177686524473327</v>
      </c>
      <c r="AC29" s="2" t="s">
        <v>43</v>
      </c>
      <c r="AD29" s="6">
        <v>0.193538978684692</v>
      </c>
      <c r="AF29" s="2" t="s">
        <v>38</v>
      </c>
      <c r="AG29" s="6">
        <v>0.19688597463485299</v>
      </c>
      <c r="AI29" s="2" t="s">
        <v>40</v>
      </c>
      <c r="AJ29" s="6">
        <v>0.18280259202476301</v>
      </c>
    </row>
    <row r="30" spans="1:36" x14ac:dyDescent="0.25">
      <c r="B30" s="2" t="s">
        <v>36</v>
      </c>
      <c r="C30" s="4">
        <v>0.16668675459710999</v>
      </c>
      <c r="E30" s="2" t="s">
        <v>37</v>
      </c>
      <c r="F30" s="2">
        <v>0.17499187112912101</v>
      </c>
      <c r="H30" s="2" t="s">
        <v>42</v>
      </c>
      <c r="I30" s="6">
        <v>0.17638843045279301</v>
      </c>
      <c r="K30" s="2" t="s">
        <v>44</v>
      </c>
      <c r="L30" s="6">
        <v>0.19655025168381199</v>
      </c>
      <c r="N30" s="2" t="s">
        <v>38</v>
      </c>
      <c r="O30" s="6">
        <v>0.158091383296279</v>
      </c>
      <c r="Q30" s="2" t="s">
        <v>38</v>
      </c>
      <c r="R30" s="6">
        <v>0.159760942156183</v>
      </c>
      <c r="T30" s="2" t="s">
        <v>38</v>
      </c>
      <c r="U30" s="6">
        <v>0.175953298281806</v>
      </c>
      <c r="W30" s="2" t="s">
        <v>35</v>
      </c>
      <c r="X30" s="6">
        <v>0.17780605340159</v>
      </c>
      <c r="Z30" s="2" t="s">
        <v>35</v>
      </c>
      <c r="AA30" s="6">
        <v>0.17676644261993699</v>
      </c>
      <c r="AC30" s="2" t="s">
        <v>36</v>
      </c>
      <c r="AD30" s="6">
        <v>0.17257077137355201</v>
      </c>
      <c r="AF30" s="2" t="s">
        <v>36</v>
      </c>
      <c r="AG30" s="6">
        <v>0.19113637202505901</v>
      </c>
      <c r="AI30" s="2" t="s">
        <v>38</v>
      </c>
      <c r="AJ30" s="6">
        <v>0.178657903512073</v>
      </c>
    </row>
    <row r="31" spans="1:36" x14ac:dyDescent="0.25">
      <c r="B31" s="2" t="s">
        <v>37</v>
      </c>
      <c r="C31" s="4">
        <v>0.165506110335816</v>
      </c>
      <c r="E31" s="2" t="s">
        <v>36</v>
      </c>
      <c r="F31" s="2">
        <v>0.17373126277158901</v>
      </c>
      <c r="H31" s="2" t="s">
        <v>37</v>
      </c>
      <c r="I31" s="6">
        <v>0.167826602666241</v>
      </c>
      <c r="K31" s="2" t="s">
        <v>35</v>
      </c>
      <c r="L31" s="6">
        <v>0.17687656511826699</v>
      </c>
      <c r="N31" s="2" t="s">
        <v>36</v>
      </c>
      <c r="O31" s="6">
        <v>0.15445085840777301</v>
      </c>
      <c r="Q31" s="2" t="s">
        <v>36</v>
      </c>
      <c r="R31" s="6">
        <v>0.1592151924653</v>
      </c>
      <c r="T31" s="2" t="s">
        <v>37</v>
      </c>
      <c r="U31" s="6">
        <v>0.16085228917247099</v>
      </c>
      <c r="W31" s="2" t="s">
        <v>37</v>
      </c>
      <c r="X31" s="6">
        <v>0.15521530956711199</v>
      </c>
      <c r="Z31" s="2" t="s">
        <v>38</v>
      </c>
      <c r="AA31" s="6">
        <v>0.176615990747297</v>
      </c>
      <c r="AC31" s="2" t="s">
        <v>35</v>
      </c>
      <c r="AD31" s="6">
        <v>0.169675404208705</v>
      </c>
      <c r="AF31" s="2" t="s">
        <v>35</v>
      </c>
      <c r="AG31" s="6">
        <v>0.18455111575142699</v>
      </c>
      <c r="AI31" s="2" t="s">
        <v>46</v>
      </c>
      <c r="AJ31" s="6">
        <v>0.17181479417257101</v>
      </c>
    </row>
    <row r="32" spans="1:36" x14ac:dyDescent="0.25">
      <c r="B32" s="2" t="s">
        <v>38</v>
      </c>
      <c r="C32" s="4">
        <v>0.16093507605518301</v>
      </c>
      <c r="E32" s="2" t="s">
        <v>39</v>
      </c>
      <c r="F32" s="2">
        <v>0.16222414422974399</v>
      </c>
      <c r="H32" s="2" t="s">
        <v>36</v>
      </c>
      <c r="I32" s="6">
        <v>0.165150857052004</v>
      </c>
      <c r="K32" s="2" t="s">
        <v>36</v>
      </c>
      <c r="L32" s="6">
        <v>0.15302236321118001</v>
      </c>
      <c r="N32" s="2" t="s">
        <v>37</v>
      </c>
      <c r="O32" s="6">
        <v>0.15379671530158201</v>
      </c>
      <c r="Q32" s="2" t="s">
        <v>37</v>
      </c>
      <c r="R32" s="6">
        <v>0.14973695460592701</v>
      </c>
      <c r="T32" s="2" t="s">
        <v>40</v>
      </c>
      <c r="U32" s="6">
        <v>0.154137653258132</v>
      </c>
      <c r="W32" s="2" t="s">
        <v>40</v>
      </c>
      <c r="X32" s="6">
        <v>0.154555530043052</v>
      </c>
      <c r="Z32" s="2" t="s">
        <v>40</v>
      </c>
      <c r="AA32" s="6">
        <v>0.17258327025574199</v>
      </c>
      <c r="AC32" s="2" t="s">
        <v>44</v>
      </c>
      <c r="AD32" s="6">
        <v>0.16871964861018901</v>
      </c>
      <c r="AF32" s="2" t="s">
        <v>40</v>
      </c>
      <c r="AG32" s="6">
        <v>0.17887778601026399</v>
      </c>
      <c r="AI32" s="2" t="s">
        <v>35</v>
      </c>
      <c r="AJ32" s="6">
        <v>0.16870839211868699</v>
      </c>
    </row>
    <row r="33" spans="1:36" x14ac:dyDescent="0.25">
      <c r="B33" s="2" t="s">
        <v>39</v>
      </c>
      <c r="C33" s="4">
        <v>0.155180910888948</v>
      </c>
      <c r="E33" s="2" t="s">
        <v>40</v>
      </c>
      <c r="F33" s="2">
        <v>0.157642317006744</v>
      </c>
      <c r="H33" s="2" t="s">
        <v>40</v>
      </c>
      <c r="I33" s="6">
        <v>0.147345389793343</v>
      </c>
      <c r="K33" s="2" t="s">
        <v>39</v>
      </c>
      <c r="L33" s="6">
        <v>0.139395565139942</v>
      </c>
      <c r="N33" s="2" t="s">
        <v>40</v>
      </c>
      <c r="O33" s="6">
        <v>0.143637465369677</v>
      </c>
      <c r="Q33" s="2" t="s">
        <v>40</v>
      </c>
      <c r="R33" s="6">
        <v>0.14732764441472199</v>
      </c>
      <c r="T33" s="2" t="s">
        <v>39</v>
      </c>
      <c r="U33" s="6">
        <v>0.14396052768733</v>
      </c>
      <c r="W33" s="2" t="s">
        <v>39</v>
      </c>
      <c r="X33" s="6">
        <v>0.14312295025795099</v>
      </c>
      <c r="Z33" s="2" t="s">
        <v>37</v>
      </c>
      <c r="AA33" s="6">
        <v>0.16545108438891401</v>
      </c>
      <c r="AC33" s="2" t="s">
        <v>40</v>
      </c>
      <c r="AD33" s="6">
        <v>0.16840567477090801</v>
      </c>
      <c r="AF33" s="2" t="s">
        <v>39</v>
      </c>
      <c r="AG33" s="6">
        <v>0.14945617344606099</v>
      </c>
      <c r="AI33" s="2" t="s">
        <v>44</v>
      </c>
      <c r="AJ33" s="6">
        <v>0.158704558611794</v>
      </c>
    </row>
    <row r="34" spans="1:36" x14ac:dyDescent="0.25">
      <c r="B34" s="2" t="s">
        <v>40</v>
      </c>
      <c r="C34" s="4">
        <v>0.151220895514946</v>
      </c>
      <c r="E34" s="2" t="s">
        <v>41</v>
      </c>
      <c r="F34" s="2">
        <v>0.12429440377178699</v>
      </c>
      <c r="H34" s="2" t="s">
        <v>39</v>
      </c>
      <c r="I34" s="6">
        <v>0.14711335510948501</v>
      </c>
      <c r="K34" s="2" t="s">
        <v>40</v>
      </c>
      <c r="L34" s="6">
        <v>0.134582868382916</v>
      </c>
      <c r="N34" s="2" t="s">
        <v>39</v>
      </c>
      <c r="O34" s="6">
        <v>0.141051604061499</v>
      </c>
      <c r="Q34" s="2" t="s">
        <v>39</v>
      </c>
      <c r="R34" s="6">
        <v>0.13818376322693399</v>
      </c>
      <c r="T34" s="2" t="s">
        <v>45</v>
      </c>
      <c r="U34" s="6">
        <v>0.12111091225382099</v>
      </c>
      <c r="W34" s="2" t="s">
        <v>45</v>
      </c>
      <c r="X34" s="6">
        <v>0.123731137994826</v>
      </c>
      <c r="Z34" s="2" t="s">
        <v>45</v>
      </c>
      <c r="AA34" s="6">
        <v>0.13089668751478001</v>
      </c>
      <c r="AC34" s="2" t="s">
        <v>45</v>
      </c>
      <c r="AD34" s="6">
        <v>0.12708952235195001</v>
      </c>
      <c r="AF34" s="2" t="s">
        <v>41</v>
      </c>
      <c r="AG34" s="6">
        <v>9.9092578132332701E-2</v>
      </c>
      <c r="AI34" s="2" t="s">
        <v>41</v>
      </c>
      <c r="AJ34" s="6">
        <v>0.13931175956010899</v>
      </c>
    </row>
    <row r="36" spans="1:36" x14ac:dyDescent="0.25">
      <c r="A36" t="s">
        <v>47</v>
      </c>
      <c r="B36" s="1">
        <v>0.1</v>
      </c>
    </row>
    <row r="37" spans="1:36" x14ac:dyDescent="0.25">
      <c r="B37">
        <v>1</v>
      </c>
      <c r="E37">
        <v>2</v>
      </c>
      <c r="H37">
        <v>3</v>
      </c>
      <c r="K37">
        <v>4</v>
      </c>
      <c r="N37">
        <v>5</v>
      </c>
      <c r="Q37">
        <v>6</v>
      </c>
      <c r="T37">
        <v>7</v>
      </c>
      <c r="W37">
        <v>8</v>
      </c>
      <c r="Z37">
        <v>9</v>
      </c>
      <c r="AC37">
        <v>10</v>
      </c>
      <c r="AF37">
        <v>11</v>
      </c>
      <c r="AI37">
        <v>12</v>
      </c>
    </row>
    <row r="38" spans="1:36" x14ac:dyDescent="0.25">
      <c r="B38" s="2" t="s">
        <v>48</v>
      </c>
      <c r="C38" s="2">
        <v>0.35103739119209698</v>
      </c>
      <c r="E38" s="2" t="s">
        <v>48</v>
      </c>
      <c r="F38" s="2">
        <v>0.36072575867477502</v>
      </c>
      <c r="H38" s="2" t="s">
        <v>48</v>
      </c>
      <c r="I38" s="6">
        <v>0.31567255361081198</v>
      </c>
      <c r="K38" s="2" t="s">
        <v>48</v>
      </c>
      <c r="L38" s="6">
        <v>0.27757820196523397</v>
      </c>
      <c r="N38" s="2" t="s">
        <v>49</v>
      </c>
      <c r="O38" s="6">
        <v>0.25921535317202599</v>
      </c>
      <c r="Q38" s="6" t="s">
        <v>43</v>
      </c>
      <c r="R38" s="6">
        <v>0.18606065426469201</v>
      </c>
      <c r="T38" s="2" t="s">
        <v>43</v>
      </c>
      <c r="U38" s="6">
        <v>0.184960981972493</v>
      </c>
      <c r="W38" s="2" t="s">
        <v>49</v>
      </c>
      <c r="X38" s="6">
        <v>0.26005618372172801</v>
      </c>
      <c r="Z38" s="2" t="s">
        <v>48</v>
      </c>
      <c r="AA38" s="6">
        <v>0.29815518453360901</v>
      </c>
      <c r="AC38" s="2" t="s">
        <v>48</v>
      </c>
      <c r="AD38" s="6">
        <v>0.28809244569454101</v>
      </c>
      <c r="AF38" s="2" t="s">
        <v>48</v>
      </c>
      <c r="AG38" s="6">
        <v>0.25357203440787301</v>
      </c>
      <c r="AI38" s="2" t="s">
        <v>48</v>
      </c>
      <c r="AJ38" s="6">
        <v>0.27502820166166297</v>
      </c>
    </row>
    <row r="39" spans="1:36" x14ac:dyDescent="0.25">
      <c r="B39" s="2" t="s">
        <v>49</v>
      </c>
      <c r="C39" s="2">
        <v>0.240802300991557</v>
      </c>
      <c r="E39" s="2" t="s">
        <v>49</v>
      </c>
      <c r="F39" s="2">
        <v>0.24143326386834699</v>
      </c>
      <c r="H39" s="2" t="s">
        <v>49</v>
      </c>
      <c r="I39" s="6">
        <v>0.24388344746346299</v>
      </c>
      <c r="K39" s="2" t="s">
        <v>49</v>
      </c>
      <c r="L39" s="6">
        <v>0.24558178702511499</v>
      </c>
      <c r="N39" s="2" t="s">
        <v>43</v>
      </c>
      <c r="O39" s="6">
        <v>0.19653739585710001</v>
      </c>
      <c r="Q39" s="6" t="s">
        <v>44</v>
      </c>
      <c r="R39" s="6">
        <v>0.15123138547253601</v>
      </c>
      <c r="T39" s="2" t="s">
        <v>51</v>
      </c>
      <c r="U39" s="6">
        <v>0.16316716300602499</v>
      </c>
      <c r="W39" s="2" t="s">
        <v>43</v>
      </c>
      <c r="X39" s="6">
        <v>0.20038748487343599</v>
      </c>
      <c r="Z39" s="2" t="s">
        <v>49</v>
      </c>
      <c r="AA39" s="6">
        <v>0.15</v>
      </c>
      <c r="AC39" s="2" t="s">
        <v>49</v>
      </c>
      <c r="AD39" s="6">
        <v>0.15</v>
      </c>
      <c r="AF39" s="2" t="s">
        <v>49</v>
      </c>
      <c r="AG39" s="6">
        <v>0.15</v>
      </c>
      <c r="AI39" s="2" t="s">
        <v>49</v>
      </c>
      <c r="AJ39" s="6">
        <v>0.15</v>
      </c>
    </row>
    <row r="40" spans="1:36" x14ac:dyDescent="0.25">
      <c r="B40" s="2" t="s">
        <v>35</v>
      </c>
      <c r="C40" s="2">
        <v>0.110601395178358</v>
      </c>
      <c r="E40" s="2" t="s">
        <v>35</v>
      </c>
      <c r="F40" s="2">
        <v>0.11147576889843699</v>
      </c>
      <c r="H40" s="2" t="s">
        <v>44</v>
      </c>
      <c r="I40" s="6">
        <v>0.118971554128422</v>
      </c>
      <c r="K40" s="2" t="s">
        <v>43</v>
      </c>
      <c r="L40" s="6">
        <v>0.12988165076821201</v>
      </c>
      <c r="N40" s="2" t="s">
        <v>44</v>
      </c>
      <c r="O40" s="6">
        <v>0.153546777197934</v>
      </c>
      <c r="Q40" s="6" t="s">
        <v>49</v>
      </c>
      <c r="R40" s="6">
        <v>0.15</v>
      </c>
      <c r="T40" s="2" t="s">
        <v>49</v>
      </c>
      <c r="U40" s="6">
        <v>0.15</v>
      </c>
      <c r="W40" s="2" t="s">
        <v>53</v>
      </c>
      <c r="X40" s="6">
        <v>0.15705778069196499</v>
      </c>
      <c r="Z40" s="2" t="s">
        <v>53</v>
      </c>
      <c r="AA40" s="6">
        <v>0.12168483867789801</v>
      </c>
      <c r="AC40" s="2" t="s">
        <v>50</v>
      </c>
      <c r="AD40" s="6">
        <v>0.12808121387808299</v>
      </c>
      <c r="AF40" s="2" t="s">
        <v>52</v>
      </c>
      <c r="AG40" s="6">
        <v>0.13453803702704401</v>
      </c>
      <c r="AI40" s="2" t="s">
        <v>52</v>
      </c>
      <c r="AJ40" s="6">
        <v>0.124147784658537</v>
      </c>
    </row>
    <row r="41" spans="1:36" x14ac:dyDescent="0.25">
      <c r="B41" s="2" t="s">
        <v>50</v>
      </c>
      <c r="C41" s="2">
        <v>0.10278621789730601</v>
      </c>
      <c r="E41" s="2" t="s">
        <v>50</v>
      </c>
      <c r="F41" s="2">
        <v>0.10309658878044101</v>
      </c>
      <c r="H41" s="2" t="s">
        <v>35</v>
      </c>
      <c r="I41" s="6">
        <v>0.116661253795333</v>
      </c>
      <c r="K41" s="2" t="s">
        <v>44</v>
      </c>
      <c r="L41" s="6">
        <v>0.12853950328755301</v>
      </c>
      <c r="N41" s="2" t="s">
        <v>35</v>
      </c>
      <c r="O41" s="6">
        <v>0.141430549739958</v>
      </c>
      <c r="Q41" s="6" t="s">
        <v>35</v>
      </c>
      <c r="R41" s="6">
        <v>0.14014542183846301</v>
      </c>
      <c r="T41" s="2" t="s">
        <v>35</v>
      </c>
      <c r="U41" s="6">
        <v>0.14584571167827301</v>
      </c>
      <c r="W41" s="2" t="s">
        <v>50</v>
      </c>
      <c r="X41" s="6">
        <v>0.13657447770671099</v>
      </c>
      <c r="Z41" s="2" t="s">
        <v>35</v>
      </c>
      <c r="AA41" s="6">
        <v>0.112605818928741</v>
      </c>
      <c r="AC41" s="2" t="s">
        <v>43</v>
      </c>
      <c r="AD41" s="6">
        <v>0.11949677684457601</v>
      </c>
      <c r="AF41" s="2" t="s">
        <v>50</v>
      </c>
      <c r="AG41" s="6">
        <v>0.122899314588925</v>
      </c>
      <c r="AI41" s="2" t="s">
        <v>35</v>
      </c>
      <c r="AJ41" s="6">
        <v>0.12023630700715</v>
      </c>
    </row>
    <row r="42" spans="1:36" x14ac:dyDescent="0.25">
      <c r="B42" s="2" t="s">
        <v>51</v>
      </c>
      <c r="C42" s="2">
        <v>0.100241587097204</v>
      </c>
      <c r="E42" s="2" t="s">
        <v>52</v>
      </c>
      <c r="F42" s="2">
        <v>9.5759329644227398E-2</v>
      </c>
      <c r="H42" s="2" t="s">
        <v>50</v>
      </c>
      <c r="I42" s="6">
        <v>0.10683605125393</v>
      </c>
      <c r="K42" s="2" t="s">
        <v>35</v>
      </c>
      <c r="L42" s="6">
        <v>0.11979889984014599</v>
      </c>
      <c r="N42" s="2" t="s">
        <v>53</v>
      </c>
      <c r="O42" s="6">
        <v>0.12852217354196699</v>
      </c>
      <c r="Q42" s="6" t="s">
        <v>53</v>
      </c>
      <c r="R42" s="6">
        <v>0.12946034015487801</v>
      </c>
      <c r="T42" s="2" t="s">
        <v>52</v>
      </c>
      <c r="U42" s="6">
        <v>0.12554840403131501</v>
      </c>
      <c r="W42" s="2" t="s">
        <v>52</v>
      </c>
      <c r="X42" s="6">
        <v>0.13376700066796801</v>
      </c>
      <c r="Z42" s="2" t="s">
        <v>50</v>
      </c>
      <c r="AA42" s="6">
        <v>0.11142345064246</v>
      </c>
      <c r="AC42" s="2" t="s">
        <v>35</v>
      </c>
      <c r="AD42" s="6">
        <v>0.11034346112891399</v>
      </c>
      <c r="AF42" s="2" t="s">
        <v>35</v>
      </c>
      <c r="AG42" s="6">
        <v>0.1205838010526</v>
      </c>
      <c r="AI42" s="2" t="s">
        <v>44</v>
      </c>
      <c r="AJ42" s="6">
        <v>0.11539316043457599</v>
      </c>
    </row>
    <row r="43" spans="1:36" x14ac:dyDescent="0.25">
      <c r="B43" s="2" t="s">
        <v>52</v>
      </c>
      <c r="C43" s="2">
        <v>9.4531107643475304E-2</v>
      </c>
      <c r="E43" s="2" t="s">
        <v>41</v>
      </c>
      <c r="F43" s="2">
        <v>8.7509290133769901E-2</v>
      </c>
      <c r="H43" s="2" t="s">
        <v>52</v>
      </c>
      <c r="I43" s="6">
        <v>9.7975139748037496E-2</v>
      </c>
      <c r="K43" s="2" t="s">
        <v>52</v>
      </c>
      <c r="L43" s="6">
        <v>9.8619957113737305E-2</v>
      </c>
      <c r="N43" s="2" t="s">
        <v>52</v>
      </c>
      <c r="O43" s="6">
        <v>0.120747750491013</v>
      </c>
      <c r="Q43" s="6" t="s">
        <v>50</v>
      </c>
      <c r="R43" s="6">
        <v>0.123558737652394</v>
      </c>
      <c r="T43" s="2" t="s">
        <v>50</v>
      </c>
      <c r="U43" s="6">
        <v>0.12460258505269201</v>
      </c>
      <c r="W43" s="2" t="s">
        <v>45</v>
      </c>
      <c r="X43" s="6">
        <v>0.11215707233819</v>
      </c>
      <c r="Z43" s="2" t="s">
        <v>52</v>
      </c>
      <c r="AA43" s="6">
        <v>0.110928117744727</v>
      </c>
      <c r="AC43" s="2" t="s">
        <v>44</v>
      </c>
      <c r="AD43" s="6">
        <v>0.109976871882924</v>
      </c>
      <c r="AF43" s="2" t="s">
        <v>44</v>
      </c>
      <c r="AG43" s="6">
        <v>0.116959532840905</v>
      </c>
      <c r="AI43" s="2" t="s">
        <v>50</v>
      </c>
      <c r="AJ43" s="6">
        <v>0.109190509821828</v>
      </c>
    </row>
    <row r="44" spans="1:36" x14ac:dyDescent="0.25">
      <c r="Q44" s="6" t="s">
        <v>52</v>
      </c>
      <c r="R44" s="6">
        <v>0.119543460617034</v>
      </c>
      <c r="T44" s="2" t="s">
        <v>45</v>
      </c>
      <c r="U44" s="6">
        <v>0.10587515425919899</v>
      </c>
      <c r="X44" s="6"/>
      <c r="Z44" s="2" t="s">
        <v>45</v>
      </c>
      <c r="AA44" s="6">
        <v>9.5202589472562799E-2</v>
      </c>
      <c r="AC44" s="2" t="s">
        <v>45</v>
      </c>
      <c r="AD44" s="6">
        <v>9.4009230570959501E-2</v>
      </c>
      <c r="AF44" s="2" t="s">
        <v>41</v>
      </c>
      <c r="AG44" s="6">
        <v>0.10144728008265</v>
      </c>
      <c r="AI44" s="2" t="s">
        <v>41</v>
      </c>
      <c r="AJ44" s="6">
        <v>0.10600403641624299</v>
      </c>
    </row>
    <row r="45" spans="1:36" x14ac:dyDescent="0.25">
      <c r="B45" s="7">
        <v>45292</v>
      </c>
      <c r="E45" s="8">
        <v>45323</v>
      </c>
      <c r="H45" s="7">
        <v>45352</v>
      </c>
      <c r="K45" s="8">
        <v>45383</v>
      </c>
      <c r="N45" s="7">
        <v>45413</v>
      </c>
      <c r="Q45" s="8">
        <v>45444</v>
      </c>
      <c r="T45" s="7">
        <v>45474</v>
      </c>
      <c r="W45" s="8">
        <v>45505</v>
      </c>
      <c r="Z45" s="7">
        <v>45536</v>
      </c>
      <c r="AC45" s="8">
        <v>45566</v>
      </c>
      <c r="AF45" s="7">
        <v>45597</v>
      </c>
      <c r="AI45" s="8">
        <v>45627</v>
      </c>
    </row>
    <row r="46" spans="1:36" x14ac:dyDescent="0.25">
      <c r="A46" t="s">
        <v>54</v>
      </c>
    </row>
    <row r="47" spans="1:36" x14ac:dyDescent="0.25">
      <c r="B47" t="str">
        <f>B3</f>
        <v>META</v>
      </c>
      <c r="C47" s="6">
        <f>C3*$B$1</f>
        <v>9.7046978419138008E-2</v>
      </c>
      <c r="E47" t="str">
        <f>E3</f>
        <v>META</v>
      </c>
      <c r="F47" s="6">
        <f>F3*$B$1</f>
        <v>0.16865317182546441</v>
      </c>
      <c r="H47" t="str">
        <f>H3</f>
        <v>CRWD</v>
      </c>
      <c r="I47" s="6">
        <f>I3*$B$1</f>
        <v>9.7014658658266806E-2</v>
      </c>
      <c r="K47" t="str">
        <f>K3</f>
        <v>AVGO</v>
      </c>
      <c r="L47" s="6">
        <f>L3*$B$1</f>
        <v>0.11469683123356081</v>
      </c>
      <c r="N47" t="str">
        <f>N3</f>
        <v>AVGO</v>
      </c>
      <c r="O47" s="6">
        <f>O3*$B$1</f>
        <v>9.6028252625225602E-2</v>
      </c>
      <c r="Q47" t="str">
        <f>Q3</f>
        <v>AVGO</v>
      </c>
      <c r="R47" s="6">
        <f>R3*$B$1</f>
        <v>0.1320833003030808</v>
      </c>
      <c r="T47" t="str">
        <f>T3</f>
        <v>FANG</v>
      </c>
      <c r="U47" s="6">
        <f>U3*$B$1</f>
        <v>0.26149252841078241</v>
      </c>
      <c r="W47" t="str">
        <f>W3</f>
        <v>KLAC</v>
      </c>
      <c r="X47" s="6">
        <f>X3*$B$1</f>
        <v>8.0959960792251998E-2</v>
      </c>
      <c r="Z47" t="str">
        <f>Z3</f>
        <v>QCOM</v>
      </c>
      <c r="AA47" s="6">
        <f>AA3*$B$1</f>
        <v>8.1984208059689603E-2</v>
      </c>
      <c r="AC47" t="str">
        <f>AC3</f>
        <v>KLAC</v>
      </c>
      <c r="AD47" s="6">
        <f>AD3*$B$1</f>
        <v>8.9588872158260405E-2</v>
      </c>
      <c r="AF47" t="str">
        <f>AF3</f>
        <v>PLTR</v>
      </c>
      <c r="AG47" s="5">
        <f>AG3*$B$1</f>
        <v>6.9692649571439211E-2</v>
      </c>
      <c r="AI47" t="str">
        <f>AI3</f>
        <v>TTD</v>
      </c>
      <c r="AJ47" s="5">
        <f>AJ3*$B$1</f>
        <v>0.1197809633903044</v>
      </c>
    </row>
    <row r="48" spans="1:36" x14ac:dyDescent="0.25">
      <c r="B48" t="str">
        <f t="shared" ref="B48:C61" si="0">B4</f>
        <v>ADBE</v>
      </c>
      <c r="C48" s="6">
        <f t="shared" ref="C48:C56" si="1">C4*$B$1</f>
        <v>5.2016645063515998E-2</v>
      </c>
      <c r="E48" t="str">
        <f t="shared" ref="E48:F48" si="2">E4</f>
        <v>APP</v>
      </c>
      <c r="F48" s="6">
        <f t="shared" ref="F48:F56" si="3">F4*$B$1</f>
        <v>9.4948426099358399E-2</v>
      </c>
      <c r="H48" t="str">
        <f t="shared" ref="H48:I48" si="4">H4</f>
        <v>AMD</v>
      </c>
      <c r="I48" s="6">
        <f t="shared" ref="I48:I56" si="5">I4*$B$1</f>
        <v>7.7254723629644806E-2</v>
      </c>
      <c r="K48" t="str">
        <f t="shared" ref="K48:L48" si="6">K4</f>
        <v>NVDA</v>
      </c>
      <c r="L48" s="6">
        <f t="shared" ref="L48:L56" si="7">L4*$B$1</f>
        <v>6.1410297729840004E-2</v>
      </c>
      <c r="N48" t="str">
        <f t="shared" ref="N48:O48" si="8">N4</f>
        <v>CRWD</v>
      </c>
      <c r="O48" s="6">
        <f t="shared" ref="O48:O56" si="9">O4*$B$1</f>
        <v>5.9815182276023608E-2</v>
      </c>
      <c r="Q48" t="str">
        <f t="shared" ref="Q48:R48" si="10">Q4</f>
        <v>FANG</v>
      </c>
      <c r="R48" s="6">
        <f t="shared" ref="R48:R56" si="11">R4*$B$1</f>
        <v>5.6565882400439207E-2</v>
      </c>
      <c r="T48" t="str">
        <f t="shared" ref="T48:U48" si="12">T4</f>
        <v>MU</v>
      </c>
      <c r="U48" s="6">
        <f t="shared" ref="U48:U56" si="13">U4*$B$1</f>
        <v>2.5848613136953281E-2</v>
      </c>
      <c r="W48" t="str">
        <f t="shared" ref="W48:X48" si="14">W4</f>
        <v>AXON</v>
      </c>
      <c r="X48" s="6">
        <f t="shared" ref="X48:X56" si="15">X4*$B$1</f>
        <v>5.8361633521772809E-2</v>
      </c>
      <c r="Z48" t="str">
        <f t="shared" ref="Z48:AA48" si="16">Z4</f>
        <v>KLAC</v>
      </c>
      <c r="AA48" s="6">
        <f t="shared" ref="AA48:AA56" si="17">AA4*$B$1</f>
        <v>6.0085562674305204E-2</v>
      </c>
      <c r="AC48" t="str">
        <f t="shared" ref="AC48:AD48" si="18">AC4</f>
        <v>AVGO</v>
      </c>
      <c r="AD48" s="6">
        <f t="shared" ref="AD48:AD56" si="19">AD4*$B$1</f>
        <v>8.3052693449162801E-2</v>
      </c>
      <c r="AF48" t="str">
        <f t="shared" ref="AF48:AG48" si="20">AF4</f>
        <v>DASH</v>
      </c>
      <c r="AG48" s="5">
        <f t="shared" ref="AG48:AG56" si="21">AG4*$B$1</f>
        <v>6.9587870371578403E-2</v>
      </c>
      <c r="AI48" t="str">
        <f t="shared" ref="AI48:AJ48" si="22">AI4</f>
        <v>NVDA</v>
      </c>
      <c r="AJ48" s="5">
        <f t="shared" ref="AJ48:AJ56" si="23">AJ4*$B$1</f>
        <v>7.3390697489941606E-2</v>
      </c>
    </row>
    <row r="49" spans="2:36" x14ac:dyDescent="0.25">
      <c r="B49" t="str">
        <f t="shared" si="0"/>
        <v>NVDA</v>
      </c>
      <c r="C49" s="6">
        <f t="shared" si="1"/>
        <v>4.2881744771708807E-2</v>
      </c>
      <c r="E49" t="str">
        <f t="shared" ref="E49:F49" si="24">E5</f>
        <v>AMD</v>
      </c>
      <c r="F49" s="6">
        <f t="shared" si="3"/>
        <v>3.625249787874512E-2</v>
      </c>
      <c r="H49" t="str">
        <f t="shared" ref="H49:I49" si="25">H5</f>
        <v>ADBE</v>
      </c>
      <c r="I49" s="6">
        <f t="shared" si="5"/>
        <v>5.1539165887918806E-2</v>
      </c>
      <c r="K49" t="str">
        <f t="shared" ref="K49:L49" si="26">K5</f>
        <v>CRWD</v>
      </c>
      <c r="L49" s="6">
        <f t="shared" si="7"/>
        <v>5.5314749182990397E-2</v>
      </c>
      <c r="N49" t="str">
        <f t="shared" ref="N49:O49" si="27">N5</f>
        <v>ZS</v>
      </c>
      <c r="O49" s="6">
        <f t="shared" si="9"/>
        <v>5.1035288475234399E-2</v>
      </c>
      <c r="Q49" t="str">
        <f t="shared" ref="Q49:R49" si="28">Q5</f>
        <v>APP</v>
      </c>
      <c r="R49" s="6">
        <f t="shared" si="11"/>
        <v>4.0013649908068001E-2</v>
      </c>
      <c r="T49" t="str">
        <f t="shared" ref="T49:U49" si="29">T5</f>
        <v>APP</v>
      </c>
      <c r="U49" s="6">
        <f t="shared" si="13"/>
        <v>2.5052690831188964E-2</v>
      </c>
      <c r="W49" t="str">
        <f t="shared" ref="W49:X49" si="30">W5</f>
        <v>META</v>
      </c>
      <c r="X49" s="6">
        <f t="shared" si="15"/>
        <v>5.6019638329503199E-2</v>
      </c>
      <c r="Z49" t="str">
        <f t="shared" ref="Z49:AA49" si="31">Z5</f>
        <v>CEG</v>
      </c>
      <c r="AA49" s="6">
        <f t="shared" si="17"/>
        <v>4.9775000451435202E-2</v>
      </c>
      <c r="AC49" t="str">
        <f t="shared" ref="AC49:AD49" si="32">AC5</f>
        <v>NVDA</v>
      </c>
      <c r="AD49" s="6">
        <f t="shared" si="19"/>
        <v>6.60595299306104E-2</v>
      </c>
      <c r="AF49" t="str">
        <f t="shared" ref="AF49:AG49" si="33">AF5</f>
        <v>AVGO</v>
      </c>
      <c r="AG49" s="5">
        <f t="shared" si="21"/>
        <v>6.0382400876030397E-2</v>
      </c>
      <c r="AI49" t="str">
        <f t="shared" ref="AI49:AJ49" si="34">AI5</f>
        <v>AVGO</v>
      </c>
      <c r="AJ49" s="5">
        <f t="shared" si="23"/>
        <v>5.0813253124134809E-2</v>
      </c>
    </row>
    <row r="50" spans="2:36" x14ac:dyDescent="0.25">
      <c r="B50" t="str">
        <f t="shared" si="0"/>
        <v>PANW</v>
      </c>
      <c r="C50" s="6">
        <f t="shared" si="1"/>
        <v>3.9250257331681165E-2</v>
      </c>
      <c r="E50" t="str">
        <f t="shared" ref="E50:F50" si="35">E6</f>
        <v>AVGO</v>
      </c>
      <c r="F50" s="6">
        <f t="shared" si="3"/>
        <v>2.2767656849412281E-2</v>
      </c>
      <c r="H50" t="str">
        <f t="shared" ref="H50:I50" si="36">H6</f>
        <v>MDB</v>
      </c>
      <c r="I50" s="6">
        <f t="shared" si="5"/>
        <v>4.2240612381667202E-2</v>
      </c>
      <c r="K50" t="str">
        <f t="shared" ref="K50:L50" si="37">K6</f>
        <v>AMD</v>
      </c>
      <c r="L50" s="6">
        <f t="shared" si="7"/>
        <v>3.8111541798114566E-2</v>
      </c>
      <c r="N50" t="str">
        <f t="shared" ref="N50:O50" si="38">N6</f>
        <v>DASH</v>
      </c>
      <c r="O50" s="6">
        <f t="shared" si="9"/>
        <v>4.5248564471769198E-2</v>
      </c>
      <c r="Q50" t="str">
        <f t="shared" ref="Q50:R50" si="39">Q6</f>
        <v>CRWD</v>
      </c>
      <c r="R50" s="6">
        <f t="shared" si="11"/>
        <v>3.9731062499221398E-2</v>
      </c>
      <c r="T50" t="str">
        <f t="shared" ref="T50:U50" si="40">T6</f>
        <v>META</v>
      </c>
      <c r="U50" s="6">
        <f t="shared" si="13"/>
        <v>1.7034603326016681E-2</v>
      </c>
      <c r="W50" t="str">
        <f t="shared" ref="W50:X50" si="41">W6</f>
        <v>APP</v>
      </c>
      <c r="X50" s="6">
        <f t="shared" si="15"/>
        <v>3.9940260350792803E-2</v>
      </c>
      <c r="Z50" t="str">
        <f t="shared" ref="Z50:AA50" si="42">Z6</f>
        <v>PLTR</v>
      </c>
      <c r="AA50" s="6">
        <f t="shared" si="17"/>
        <v>4.8826913437106004E-2</v>
      </c>
      <c r="AC50" t="str">
        <f t="shared" ref="AC50:AD50" si="43">AC6</f>
        <v>PLTR</v>
      </c>
      <c r="AD50" s="6">
        <f t="shared" si="19"/>
        <v>4.1108430897582399E-2</v>
      </c>
      <c r="AF50" t="str">
        <f t="shared" ref="AF50:AG50" si="44">AF6</f>
        <v>NVDA</v>
      </c>
      <c r="AG50" s="5">
        <f t="shared" si="21"/>
        <v>5.5907345704579205E-2</v>
      </c>
      <c r="AI50" t="str">
        <f t="shared" ref="AI50:AJ50" si="45">AI6</f>
        <v>META</v>
      </c>
      <c r="AJ50" s="5">
        <f t="shared" si="23"/>
        <v>4.9735875487376402E-2</v>
      </c>
    </row>
    <row r="51" spans="2:36" x14ac:dyDescent="0.25">
      <c r="B51" t="str">
        <f t="shared" si="0"/>
        <v>MDB</v>
      </c>
      <c r="C51" s="6">
        <f t="shared" si="1"/>
        <v>3.6005928962230004E-2</v>
      </c>
      <c r="E51" t="str">
        <f t="shared" ref="E51:F51" si="46">E7</f>
        <v>NVDA</v>
      </c>
      <c r="F51" s="6">
        <f t="shared" si="3"/>
        <v>1.9742277495200321E-2</v>
      </c>
      <c r="H51" t="str">
        <f t="shared" ref="H51:I51" si="47">H7</f>
        <v>AVGO</v>
      </c>
      <c r="I51" s="6">
        <f t="shared" si="5"/>
        <v>4.1818789887426801E-2</v>
      </c>
      <c r="K51" t="str">
        <f t="shared" ref="K51:L51" si="48">K7</f>
        <v>META</v>
      </c>
      <c r="L51" s="6">
        <f t="shared" si="7"/>
        <v>3.3745732792541998E-2</v>
      </c>
      <c r="N51" t="str">
        <f t="shared" ref="N51:O51" si="49">N7</f>
        <v>NVDA</v>
      </c>
      <c r="O51" s="6">
        <f t="shared" si="9"/>
        <v>3.5701017216200719E-2</v>
      </c>
      <c r="Q51" t="str">
        <f t="shared" ref="Q51:R51" si="50">Q7</f>
        <v>CEG</v>
      </c>
      <c r="R51" s="6">
        <f t="shared" si="11"/>
        <v>3.8516078104206847E-2</v>
      </c>
      <c r="T51" t="str">
        <f t="shared" ref="T51:U51" si="51">T7</f>
        <v>CEG</v>
      </c>
      <c r="U51" s="6">
        <f t="shared" si="13"/>
        <v>1.5365588043126561E-2</v>
      </c>
      <c r="W51" t="str">
        <f t="shared" ref="W51:X51" si="52">W7</f>
        <v>AVGO</v>
      </c>
      <c r="X51" s="6">
        <f t="shared" si="15"/>
        <v>3.9274344128106285E-2</v>
      </c>
      <c r="Z51" t="str">
        <f t="shared" ref="Z51:AA51" si="53">Z7</f>
        <v>META</v>
      </c>
      <c r="AA51" s="6">
        <f t="shared" si="17"/>
        <v>3.5491488364836121E-2</v>
      </c>
      <c r="AC51" t="str">
        <f t="shared" ref="AC51:AD51" si="54">AC7</f>
        <v>NFLX</v>
      </c>
      <c r="AD51" s="6">
        <f t="shared" si="19"/>
        <v>2.9402756677533844E-2</v>
      </c>
      <c r="AF51" t="str">
        <f t="shared" ref="AF51:AG51" si="55">AF7</f>
        <v>META</v>
      </c>
      <c r="AG51" s="5">
        <f t="shared" si="21"/>
        <v>3.8922574771606565E-2</v>
      </c>
      <c r="AI51" t="str">
        <f t="shared" ref="AI51:AJ51" si="56">AI7</f>
        <v>ARM</v>
      </c>
      <c r="AJ51" s="5">
        <f t="shared" si="23"/>
        <v>4.4019827428856406E-2</v>
      </c>
    </row>
    <row r="52" spans="2:36" x14ac:dyDescent="0.25">
      <c r="B52" t="str">
        <f t="shared" si="0"/>
        <v>AMD</v>
      </c>
      <c r="C52" s="6">
        <f t="shared" si="1"/>
        <v>2.939984013892228E-2</v>
      </c>
      <c r="E52" t="str">
        <f t="shared" ref="E52:F52" si="57">E8</f>
        <v>PANW</v>
      </c>
      <c r="F52" s="6">
        <f t="shared" si="3"/>
        <v>1.6457285162603082E-2</v>
      </c>
      <c r="H52" t="str">
        <f t="shared" ref="H52:I52" si="58">H8</f>
        <v>META</v>
      </c>
      <c r="I52" s="6">
        <f t="shared" si="5"/>
        <v>3.4511640175111359E-2</v>
      </c>
      <c r="K52" t="str">
        <f t="shared" ref="K52:L52" si="59">K8</f>
        <v>ZS</v>
      </c>
      <c r="L52" s="6">
        <f t="shared" si="7"/>
        <v>3.1196306680348763E-2</v>
      </c>
      <c r="N52" t="str">
        <f t="shared" ref="N52:O52" si="60">N8</f>
        <v>META</v>
      </c>
      <c r="O52" s="6">
        <f t="shared" si="9"/>
        <v>3.0777990061148203E-2</v>
      </c>
      <c r="Q52" t="str">
        <f t="shared" ref="Q52:R52" si="61">Q8</f>
        <v>DASH</v>
      </c>
      <c r="R52" s="6">
        <f t="shared" si="11"/>
        <v>2.4612570746922319E-2</v>
      </c>
      <c r="T52" t="str">
        <f t="shared" ref="T52:U52" si="62">T8</f>
        <v>QCOM</v>
      </c>
      <c r="U52" s="6">
        <f t="shared" si="13"/>
        <v>1.3053991708127162E-2</v>
      </c>
      <c r="W52" t="str">
        <f t="shared" ref="W52:X52" si="63">W8</f>
        <v>CEG</v>
      </c>
      <c r="X52" s="6">
        <f t="shared" si="15"/>
        <v>3.3529142629437243E-2</v>
      </c>
      <c r="Z52" t="str">
        <f t="shared" ref="Z52:AA52" si="64">Z8</f>
        <v>NVDA</v>
      </c>
      <c r="AA52" s="6">
        <f t="shared" si="17"/>
        <v>3.3667817193967359E-2</v>
      </c>
      <c r="AC52" t="str">
        <f t="shared" ref="AC52:AD52" si="65">AC8</f>
        <v>AXON</v>
      </c>
      <c r="AD52" s="6">
        <f t="shared" si="19"/>
        <v>2.7470691284160881E-2</v>
      </c>
      <c r="AF52" t="str">
        <f t="shared" ref="AF52:AG52" si="66">AF8</f>
        <v>ARM</v>
      </c>
      <c r="AG52" s="5">
        <f t="shared" si="21"/>
        <v>3.1015071376493081E-2</v>
      </c>
      <c r="AI52" t="str">
        <f t="shared" ref="AI52:AJ52" si="67">AI8</f>
        <v>MSTR</v>
      </c>
      <c r="AJ52" s="5">
        <f t="shared" si="23"/>
        <v>1.8198202566006679E-2</v>
      </c>
    </row>
    <row r="53" spans="2:36" x14ac:dyDescent="0.25">
      <c r="B53" t="str">
        <f t="shared" si="0"/>
        <v>DASH</v>
      </c>
      <c r="C53" s="6">
        <f t="shared" si="1"/>
        <v>2.8595747186367759E-2</v>
      </c>
      <c r="E53" t="str">
        <f t="shared" ref="E53:F53" si="68">E9</f>
        <v>MDB</v>
      </c>
      <c r="F53" s="6">
        <f t="shared" si="3"/>
        <v>1.3948076892639081E-2</v>
      </c>
      <c r="H53" t="str">
        <f t="shared" ref="H53:I53" si="69">H9</f>
        <v>NVDA</v>
      </c>
      <c r="I53" s="6">
        <f t="shared" si="5"/>
        <v>2.7542633881111802E-2</v>
      </c>
      <c r="K53" t="str">
        <f t="shared" ref="K53:L53" si="70">K9</f>
        <v>CEG</v>
      </c>
      <c r="L53" s="6">
        <f t="shared" si="7"/>
        <v>2.5043200886362763E-2</v>
      </c>
      <c r="N53" t="str">
        <f t="shared" ref="N53:O53" si="71">N9</f>
        <v>CEG</v>
      </c>
      <c r="O53" s="6">
        <f t="shared" si="9"/>
        <v>3.0238208834595038E-2</v>
      </c>
      <c r="Q53" t="str">
        <f t="shared" ref="Q53:R53" si="72">Q9</f>
        <v>PDD</v>
      </c>
      <c r="R53" s="6">
        <f t="shared" si="11"/>
        <v>2.409637852960252E-2</v>
      </c>
      <c r="T53" t="str">
        <f t="shared" ref="T53:U53" si="73">T9</f>
        <v>CRWD</v>
      </c>
      <c r="U53" s="6">
        <f t="shared" si="13"/>
        <v>1.2554160169914081E-2</v>
      </c>
      <c r="W53" t="str">
        <f t="shared" ref="W53:X53" si="74">W9</f>
        <v>MU</v>
      </c>
      <c r="X53" s="6">
        <f t="shared" si="15"/>
        <v>3.1937358324730318E-2</v>
      </c>
      <c r="Z53" t="str">
        <f t="shared" ref="Z53:AA53" si="75">Z9</f>
        <v>MU</v>
      </c>
      <c r="AA53" s="6">
        <f t="shared" si="17"/>
        <v>2.6440014030807719E-2</v>
      </c>
      <c r="AC53" t="str">
        <f t="shared" ref="AC53:AD53" si="76">AC9</f>
        <v>ARM</v>
      </c>
      <c r="AD53" s="6">
        <f t="shared" si="19"/>
        <v>2.6512943566790001E-2</v>
      </c>
      <c r="AF53" t="str">
        <f t="shared" ref="AF53:AG53" si="77">AF9</f>
        <v>AXON</v>
      </c>
      <c r="AG53" s="5">
        <f t="shared" si="21"/>
        <v>2.9236087482692241E-2</v>
      </c>
      <c r="AI53" t="str">
        <f t="shared" ref="AI53:AJ53" si="78">AI9</f>
        <v>CEG</v>
      </c>
      <c r="AJ53" s="5">
        <f t="shared" si="23"/>
        <v>1.496926194214776E-2</v>
      </c>
    </row>
    <row r="54" spans="2:36" x14ac:dyDescent="0.25">
      <c r="B54" t="str">
        <f t="shared" si="0"/>
        <v>CRWD</v>
      </c>
      <c r="C54" s="6">
        <f t="shared" si="1"/>
        <v>2.8442394753689162E-2</v>
      </c>
      <c r="E54" t="str">
        <f t="shared" ref="E54:F54" si="79">E10</f>
        <v>CRWD</v>
      </c>
      <c r="F54" s="6">
        <f t="shared" si="3"/>
        <v>1.3257697377406362E-2</v>
      </c>
      <c r="H54" t="str">
        <f t="shared" ref="H54:I54" si="80">H10</f>
        <v>APP</v>
      </c>
      <c r="I54" s="6">
        <f t="shared" si="5"/>
        <v>1.4178565259821641E-2</v>
      </c>
      <c r="K54" t="str">
        <f t="shared" ref="K54:L54" si="81">K10</f>
        <v>APP</v>
      </c>
      <c r="L54" s="6">
        <f t="shared" si="7"/>
        <v>2.1008893400995682E-2</v>
      </c>
      <c r="N54" t="str">
        <f t="shared" ref="N54:O54" si="82">N10</f>
        <v>APP</v>
      </c>
      <c r="O54" s="6">
        <f t="shared" si="9"/>
        <v>2.6726341935427403E-2</v>
      </c>
      <c r="Q54" t="str">
        <f t="shared" ref="Q54:R54" si="83">Q10</f>
        <v>NVDA</v>
      </c>
      <c r="R54" s="6">
        <f t="shared" si="11"/>
        <v>2.0184216092917883E-2</v>
      </c>
      <c r="T54" t="str">
        <f t="shared" ref="T54:U54" si="84">T10</f>
        <v>PDD</v>
      </c>
      <c r="U54" s="6">
        <f t="shared" si="13"/>
        <v>1.2461883423578721E-2</v>
      </c>
      <c r="W54" t="str">
        <f t="shared" ref="W54:X54" si="85">W10</f>
        <v>NVDA</v>
      </c>
      <c r="X54" s="6">
        <f t="shared" si="15"/>
        <v>2.8396685738880725E-2</v>
      </c>
      <c r="Z54" t="str">
        <f t="shared" ref="Z54:AA54" si="86">Z10</f>
        <v>AVGO</v>
      </c>
      <c r="AA54" s="6">
        <f t="shared" si="17"/>
        <v>2.5644567659428481E-2</v>
      </c>
      <c r="AC54" t="str">
        <f t="shared" ref="AC54:AD54" si="87">AC10</f>
        <v>CEG</v>
      </c>
      <c r="AD54" s="6">
        <f t="shared" si="19"/>
        <v>1.398212327623864E-2</v>
      </c>
      <c r="AF54" t="str">
        <f t="shared" ref="AF54:AG54" si="88">AF10</f>
        <v>APP</v>
      </c>
      <c r="AG54" s="5">
        <f t="shared" si="21"/>
        <v>2.3880720132244959E-2</v>
      </c>
      <c r="AI54" t="str">
        <f t="shared" ref="AI54:AJ54" si="89">AI10</f>
        <v>AXON</v>
      </c>
      <c r="AJ54" s="5">
        <f t="shared" si="23"/>
        <v>1.0911737278758561E-2</v>
      </c>
    </row>
    <row r="55" spans="2:36" x14ac:dyDescent="0.25">
      <c r="B55" t="str">
        <f t="shared" si="0"/>
        <v>MELI</v>
      </c>
      <c r="C55" s="6">
        <f t="shared" si="1"/>
        <v>2.3526930546138081E-2</v>
      </c>
      <c r="E55" t="str">
        <f t="shared" ref="E55:F55" si="90">E11</f>
        <v>MSTR</v>
      </c>
      <c r="F55" s="6">
        <f t="shared" si="3"/>
        <v>7.1999375726342395E-3</v>
      </c>
      <c r="H55" t="str">
        <f t="shared" ref="H55:I55" si="91">H11</f>
        <v>PLTR</v>
      </c>
      <c r="I55" s="6">
        <f t="shared" si="5"/>
        <v>8.6304637986265205E-3</v>
      </c>
      <c r="K55" t="str">
        <f t="shared" ref="K55:L55" si="92">K11</f>
        <v>PLTR</v>
      </c>
      <c r="L55" s="6">
        <f t="shared" si="7"/>
        <v>1.2404122351853921E-2</v>
      </c>
      <c r="N55" t="str">
        <f t="shared" ref="N55:O55" si="93">N11</f>
        <v>PLTR</v>
      </c>
      <c r="O55" s="6">
        <f t="shared" si="9"/>
        <v>1.6389078235541761E-2</v>
      </c>
      <c r="Q55" t="str">
        <f t="shared" ref="Q55:R55" si="94">Q11</f>
        <v>MU</v>
      </c>
      <c r="R55" s="6">
        <f t="shared" si="11"/>
        <v>1.8387474901591962E-2</v>
      </c>
      <c r="T55" t="str">
        <f t="shared" ref="T55:U55" si="95">T11</f>
        <v>NVDA</v>
      </c>
      <c r="U55" s="6">
        <f t="shared" si="13"/>
        <v>1.2398341887501481E-2</v>
      </c>
      <c r="W55" t="str">
        <f t="shared" ref="W55:X55" si="96">W11</f>
        <v>MSTR</v>
      </c>
      <c r="X55" s="6">
        <f t="shared" si="15"/>
        <v>1.7342941759386481E-2</v>
      </c>
      <c r="Z55" t="str">
        <f t="shared" ref="Z55:AA55" si="97">Z11</f>
        <v>APP</v>
      </c>
      <c r="AA55" s="6">
        <f t="shared" si="17"/>
        <v>2.1529807817857682E-2</v>
      </c>
      <c r="AC55" t="str">
        <f t="shared" ref="AC55:AD55" si="98">AC11</f>
        <v>MSTR</v>
      </c>
      <c r="AD55" s="6">
        <f t="shared" si="19"/>
        <v>1.1479857086398681E-2</v>
      </c>
      <c r="AF55" t="str">
        <f t="shared" ref="AF55:AG55" si="99">AF11</f>
        <v>CEG</v>
      </c>
      <c r="AG55" s="5">
        <f t="shared" si="21"/>
        <v>1.39743723400208E-2</v>
      </c>
      <c r="AI55" t="str">
        <f t="shared" ref="AI55:AJ55" si="100">AI11</f>
        <v>PLTR</v>
      </c>
      <c r="AJ55" s="5">
        <f t="shared" si="23"/>
        <v>1.0524244891743601E-2</v>
      </c>
    </row>
    <row r="56" spans="2:36" x14ac:dyDescent="0.25">
      <c r="B56" t="str">
        <f t="shared" si="0"/>
        <v>TSLA</v>
      </c>
      <c r="C56" s="6">
        <f t="shared" si="1"/>
        <v>2.2833532826608244E-2</v>
      </c>
      <c r="E56" t="str">
        <f t="shared" ref="E56:F56" si="101">E12</f>
        <v>PLTR</v>
      </c>
      <c r="F56" s="6">
        <f t="shared" si="3"/>
        <v>6.7729728465361202E-3</v>
      </c>
      <c r="H56" t="str">
        <f t="shared" ref="H56:I56" si="102">H12</f>
        <v>MSTR</v>
      </c>
      <c r="I56" s="6">
        <f t="shared" si="5"/>
        <v>5.2687464404030408E-3</v>
      </c>
      <c r="K56" t="str">
        <f t="shared" ref="K56:L56" si="103">K12</f>
        <v>MSTR</v>
      </c>
      <c r="L56" s="6">
        <f t="shared" si="7"/>
        <v>7.06832394339044E-3</v>
      </c>
      <c r="N56" t="str">
        <f t="shared" ref="N56:O56" si="104">N12</f>
        <v>MSTR</v>
      </c>
      <c r="O56" s="6">
        <f t="shared" si="9"/>
        <v>8.0400758688331207E-3</v>
      </c>
      <c r="Q56" t="str">
        <f t="shared" ref="Q56:R56" si="105">Q12</f>
        <v>MSTR</v>
      </c>
      <c r="R56" s="6">
        <f t="shared" si="11"/>
        <v>5.8093865139480002E-3</v>
      </c>
      <c r="T56" t="str">
        <f t="shared" ref="T56:U56" si="106">T12</f>
        <v>MSTR</v>
      </c>
      <c r="U56" s="6">
        <f t="shared" si="13"/>
        <v>4.7375990628103206E-3</v>
      </c>
      <c r="W56" t="str">
        <f t="shared" ref="W56:X56" si="107">W12</f>
        <v>CRWD</v>
      </c>
      <c r="X56" s="6">
        <f t="shared" si="15"/>
        <v>1.423803442513792E-2</v>
      </c>
      <c r="Z56" t="str">
        <f t="shared" ref="Z56:AA56" si="108">Z12</f>
        <v>MSTR</v>
      </c>
      <c r="AA56" s="6">
        <f t="shared" si="17"/>
        <v>1.6554620310565323E-2</v>
      </c>
      <c r="AC56" t="str">
        <f t="shared" ref="AC56:AD56" si="109">AC12</f>
        <v>APP</v>
      </c>
      <c r="AD56" s="6">
        <f t="shared" si="19"/>
        <v>1.134210167326136E-2</v>
      </c>
      <c r="AF56" t="str">
        <f t="shared" ref="AF56:AG56" si="110">AF12</f>
        <v>MSTR</v>
      </c>
      <c r="AG56" s="5">
        <f t="shared" si="21"/>
        <v>7.4009073733139604E-3</v>
      </c>
      <c r="AI56" t="str">
        <f t="shared" ref="AI56:AJ56" si="111">AI12</f>
        <v>APP</v>
      </c>
      <c r="AJ56" s="5">
        <f t="shared" si="23"/>
        <v>7.6559364007290007E-3</v>
      </c>
    </row>
    <row r="57" spans="2:36" x14ac:dyDescent="0.25">
      <c r="B57" t="str">
        <f>B16</f>
        <v>AAPL</v>
      </c>
      <c r="C57" s="6">
        <f>C16*$B$14</f>
        <v>0.03</v>
      </c>
      <c r="E57" t="str">
        <f>E16</f>
        <v>AAPL</v>
      </c>
      <c r="F57" s="6">
        <f>F16*$B$14</f>
        <v>0.03</v>
      </c>
      <c r="H57" t="str">
        <f>H16</f>
        <v>AAPL</v>
      </c>
      <c r="I57" s="6">
        <f>I16*$B$14</f>
        <v>0.03</v>
      </c>
      <c r="K57" t="str">
        <f>K16</f>
        <v>AAPL</v>
      </c>
      <c r="L57" s="6">
        <f>L16*$B$14</f>
        <v>0.03</v>
      </c>
      <c r="N57" t="str">
        <f>N16</f>
        <v>AAPL</v>
      </c>
      <c r="O57" s="6">
        <f>O16*$B$14</f>
        <v>0.03</v>
      </c>
      <c r="Q57" t="str">
        <f>Q16</f>
        <v>AAPL</v>
      </c>
      <c r="R57" s="6">
        <f>R16*$B$14</f>
        <v>0.03</v>
      </c>
      <c r="T57" t="str">
        <f>T16</f>
        <v>AAPL</v>
      </c>
      <c r="U57" s="6">
        <f>U16*$B$14</f>
        <v>0.03</v>
      </c>
      <c r="W57" t="str">
        <f>W16</f>
        <v>AAPL</v>
      </c>
      <c r="X57" s="6">
        <f>X16*$B$14</f>
        <v>0.03</v>
      </c>
      <c r="Z57" t="str">
        <f>Z16</f>
        <v>AAPL</v>
      </c>
      <c r="AA57" s="6">
        <f>AA16*$B$14</f>
        <v>0.03</v>
      </c>
      <c r="AC57" t="str">
        <f>AC16</f>
        <v>AAPL</v>
      </c>
      <c r="AD57" s="6">
        <f>AD16*$B$14</f>
        <v>0.03</v>
      </c>
      <c r="AF57" t="str">
        <f>AF16</f>
        <v>AAPL</v>
      </c>
      <c r="AG57" s="5">
        <f>AG16*$B$14</f>
        <v>0.03</v>
      </c>
      <c r="AI57" t="str">
        <f>AI16</f>
        <v>AAPL</v>
      </c>
      <c r="AJ57" s="5">
        <f>AJ16*$B$14</f>
        <v>0.03</v>
      </c>
    </row>
    <row r="58" spans="2:36" x14ac:dyDescent="0.25">
      <c r="B58" t="str">
        <f t="shared" ref="B58:C68" si="112">B17</f>
        <v>ADBE</v>
      </c>
      <c r="C58" s="6">
        <f t="shared" ref="C58:C66" si="113">C17*$B$14</f>
        <v>0.03</v>
      </c>
      <c r="E58" t="str">
        <f t="shared" ref="E58:F58" si="114">E17</f>
        <v>ADBE</v>
      </c>
      <c r="F58" s="6">
        <f t="shared" ref="F58:F66" si="115">F17*$B$14</f>
        <v>0.03</v>
      </c>
      <c r="H58" t="str">
        <f t="shared" ref="H58:I58" si="116">H17</f>
        <v>ADBE</v>
      </c>
      <c r="I58" s="6">
        <f t="shared" ref="I58:I66" si="117">I17*$B$14</f>
        <v>0.03</v>
      </c>
      <c r="K58" t="str">
        <f t="shared" ref="K58:L58" si="118">K17</f>
        <v>ADBE</v>
      </c>
      <c r="L58" s="6">
        <f t="shared" ref="L58:L66" si="119">L17*$B$14</f>
        <v>0.03</v>
      </c>
      <c r="N58" t="str">
        <f t="shared" ref="N58:O58" si="120">N17</f>
        <v>ADBE</v>
      </c>
      <c r="O58" s="6">
        <f t="shared" ref="O58:O66" si="121">O17*$B$14</f>
        <v>0.03</v>
      </c>
      <c r="Q58" t="str">
        <f t="shared" ref="Q58:R58" si="122">Q17</f>
        <v>ADBE</v>
      </c>
      <c r="R58" s="6">
        <f t="shared" ref="R58:R66" si="123">R17*$B$14</f>
        <v>0.03</v>
      </c>
      <c r="T58" t="str">
        <f t="shared" ref="T58:U58" si="124">T17</f>
        <v>ADBE</v>
      </c>
      <c r="U58" s="6">
        <f t="shared" ref="U58:U66" si="125">U17*$B$14</f>
        <v>0.03</v>
      </c>
      <c r="W58" t="str">
        <f t="shared" ref="W58:X58" si="126">W17</f>
        <v>ADBE</v>
      </c>
      <c r="X58" s="6">
        <f t="shared" ref="X58:X66" si="127">X17*$B$14</f>
        <v>0.03</v>
      </c>
      <c r="Z58" t="str">
        <f t="shared" ref="Z58:AA58" si="128">Z17</f>
        <v>ADBE</v>
      </c>
      <c r="AA58" s="6">
        <f t="shared" ref="AA58:AA66" si="129">AA17*$B$14</f>
        <v>0.03</v>
      </c>
      <c r="AC58" t="str">
        <f t="shared" ref="AC58:AD58" si="130">AC17</f>
        <v>ADBE</v>
      </c>
      <c r="AD58" s="6">
        <f t="shared" ref="AD58:AD66" si="131">AD17*$B$14</f>
        <v>0.03</v>
      </c>
      <c r="AF58" t="str">
        <f t="shared" ref="AF58:AG58" si="132">AF17</f>
        <v>ADBE</v>
      </c>
      <c r="AG58" s="5">
        <f t="shared" ref="AG58:AG66" si="133">AG17*$B$14</f>
        <v>0.03</v>
      </c>
      <c r="AI58" t="str">
        <f t="shared" ref="AI58:AJ58" si="134">AI17</f>
        <v>ADBE</v>
      </c>
      <c r="AJ58" s="5">
        <f t="shared" ref="AJ58:AJ66" si="135">AJ17*$B$14</f>
        <v>0.03</v>
      </c>
    </row>
    <row r="59" spans="2:36" x14ac:dyDescent="0.25">
      <c r="B59" t="str">
        <f t="shared" si="112"/>
        <v>FTNT</v>
      </c>
      <c r="C59" s="6">
        <f t="shared" si="113"/>
        <v>0.03</v>
      </c>
      <c r="E59" t="str">
        <f t="shared" ref="E59:F59" si="136">E18</f>
        <v>ADP</v>
      </c>
      <c r="F59" s="6">
        <f t="shared" si="115"/>
        <v>0.03</v>
      </c>
      <c r="H59" t="str">
        <f t="shared" ref="H59:I59" si="137">H18</f>
        <v>ADP</v>
      </c>
      <c r="I59" s="6">
        <f t="shared" si="117"/>
        <v>0.03</v>
      </c>
      <c r="K59" t="str">
        <f t="shared" ref="K59:L59" si="138">K18</f>
        <v>ADP</v>
      </c>
      <c r="L59" s="6">
        <f t="shared" si="119"/>
        <v>0.03</v>
      </c>
      <c r="N59" t="str">
        <f t="shared" ref="N59:O59" si="139">N18</f>
        <v>ADP</v>
      </c>
      <c r="O59" s="6">
        <f t="shared" si="121"/>
        <v>0.03</v>
      </c>
      <c r="Q59" t="str">
        <f t="shared" ref="Q59:R59" si="140">Q18</f>
        <v>ADP</v>
      </c>
      <c r="R59" s="6">
        <f t="shared" si="123"/>
        <v>0.03</v>
      </c>
      <c r="T59" t="str">
        <f t="shared" ref="T59:U59" si="141">T18</f>
        <v>ADP</v>
      </c>
      <c r="U59" s="6">
        <f t="shared" si="125"/>
        <v>0.03</v>
      </c>
      <c r="W59" t="str">
        <f t="shared" ref="W59:X59" si="142">W18</f>
        <v>ADP</v>
      </c>
      <c r="X59" s="6">
        <f t="shared" si="127"/>
        <v>0.03</v>
      </c>
      <c r="Z59" t="str">
        <f t="shared" ref="Z59:AA59" si="143">Z18</f>
        <v>ADP</v>
      </c>
      <c r="AA59" s="6">
        <f t="shared" si="129"/>
        <v>0.03</v>
      </c>
      <c r="AC59" t="str">
        <f t="shared" ref="AC59:AD59" si="144">AC18</f>
        <v>ADP</v>
      </c>
      <c r="AD59" s="6">
        <f t="shared" si="131"/>
        <v>0.03</v>
      </c>
      <c r="AF59" t="str">
        <f t="shared" ref="AF59:AG59" si="145">AF18</f>
        <v>ADP</v>
      </c>
      <c r="AG59" s="5">
        <f t="shared" si="133"/>
        <v>0.03</v>
      </c>
      <c r="AI59" t="str">
        <f t="shared" ref="AI59:AJ59" si="146">AI18</f>
        <v>ADP</v>
      </c>
      <c r="AJ59" s="5">
        <f t="shared" si="135"/>
        <v>0.03</v>
      </c>
    </row>
    <row r="60" spans="2:36" x14ac:dyDescent="0.25">
      <c r="B60" t="str">
        <f t="shared" si="112"/>
        <v>ILMN</v>
      </c>
      <c r="C60" s="6">
        <f t="shared" si="113"/>
        <v>0.03</v>
      </c>
      <c r="E60" t="str">
        <f t="shared" ref="E60:F60" si="147">E19</f>
        <v>APP</v>
      </c>
      <c r="F60" s="6">
        <f t="shared" si="115"/>
        <v>0.03</v>
      </c>
      <c r="H60" t="str">
        <f t="shared" ref="H60:I60" si="148">H19</f>
        <v>APP</v>
      </c>
      <c r="I60" s="6">
        <f t="shared" si="117"/>
        <v>0.03</v>
      </c>
      <c r="K60" t="str">
        <f t="shared" ref="K60:L60" si="149">K19</f>
        <v>APP</v>
      </c>
      <c r="L60" s="6">
        <f t="shared" si="119"/>
        <v>0.03</v>
      </c>
      <c r="N60" t="str">
        <f t="shared" ref="N60:O60" si="150">N19</f>
        <v>APP</v>
      </c>
      <c r="O60" s="6">
        <f t="shared" si="121"/>
        <v>0.03</v>
      </c>
      <c r="Q60" t="str">
        <f t="shared" ref="Q60:R60" si="151">Q19</f>
        <v>APP</v>
      </c>
      <c r="R60" s="6">
        <f t="shared" si="123"/>
        <v>0.03</v>
      </c>
      <c r="T60" t="str">
        <f t="shared" ref="T60:U60" si="152">T19</f>
        <v>APP</v>
      </c>
      <c r="U60" s="6">
        <f t="shared" si="125"/>
        <v>0.03</v>
      </c>
      <c r="W60" t="str">
        <f t="shared" ref="W60:X60" si="153">W19</f>
        <v>APP</v>
      </c>
      <c r="X60" s="6">
        <f t="shared" si="127"/>
        <v>0.03</v>
      </c>
      <c r="Z60" t="str">
        <f t="shared" ref="Z60:AA60" si="154">Z19</f>
        <v>APP</v>
      </c>
      <c r="AA60" s="6">
        <f t="shared" si="129"/>
        <v>0.03</v>
      </c>
      <c r="AC60" t="str">
        <f t="shared" ref="AC60:AD60" si="155">AC19</f>
        <v>APP</v>
      </c>
      <c r="AD60" s="6">
        <f t="shared" si="131"/>
        <v>0.03</v>
      </c>
      <c r="AF60" t="str">
        <f t="shared" ref="AF60:AG60" si="156">AF19</f>
        <v>APP</v>
      </c>
      <c r="AG60" s="5">
        <f t="shared" si="133"/>
        <v>0.03</v>
      </c>
      <c r="AI60" t="str">
        <f t="shared" ref="AI60:AJ60" si="157">AI19</f>
        <v>APP</v>
      </c>
      <c r="AJ60" s="5">
        <f t="shared" si="135"/>
        <v>0.03</v>
      </c>
    </row>
    <row r="61" spans="2:36" x14ac:dyDescent="0.25">
      <c r="B61" t="str">
        <f t="shared" si="112"/>
        <v>KLAC</v>
      </c>
      <c r="C61" s="6">
        <f t="shared" si="113"/>
        <v>0.03</v>
      </c>
      <c r="E61" t="str">
        <f t="shared" ref="E61:F61" si="158">E20</f>
        <v>FTNT</v>
      </c>
      <c r="F61" s="6">
        <f t="shared" si="115"/>
        <v>0.03</v>
      </c>
      <c r="H61" t="str">
        <f t="shared" ref="H61:I61" si="159">H20</f>
        <v>FTNT</v>
      </c>
      <c r="I61" s="6">
        <f t="shared" si="117"/>
        <v>0.03</v>
      </c>
      <c r="K61" t="str">
        <f t="shared" ref="K61:L61" si="160">K20</f>
        <v>FTNT</v>
      </c>
      <c r="L61" s="6">
        <f t="shared" si="119"/>
        <v>0.03</v>
      </c>
      <c r="N61" t="str">
        <f t="shared" ref="N61:O61" si="161">N20</f>
        <v>FTNT</v>
      </c>
      <c r="O61" s="6">
        <f t="shared" si="121"/>
        <v>0.03</v>
      </c>
      <c r="Q61" t="str">
        <f t="shared" ref="Q61:R61" si="162">Q20</f>
        <v>FTNT</v>
      </c>
      <c r="R61" s="6">
        <f t="shared" si="123"/>
        <v>0.03</v>
      </c>
      <c r="T61" t="str">
        <f t="shared" ref="T61:U61" si="163">T20</f>
        <v>FTNT</v>
      </c>
      <c r="U61" s="6">
        <f t="shared" si="125"/>
        <v>0.03</v>
      </c>
      <c r="W61" t="str">
        <f t="shared" ref="W61:X61" si="164">W20</f>
        <v>FTNT</v>
      </c>
      <c r="X61" s="6">
        <f t="shared" si="127"/>
        <v>0.03</v>
      </c>
      <c r="Z61" t="str">
        <f t="shared" ref="Z61:AA61" si="165">Z20</f>
        <v>FTNT</v>
      </c>
      <c r="AA61" s="6">
        <f t="shared" si="129"/>
        <v>0.03</v>
      </c>
      <c r="AC61" t="str">
        <f t="shared" ref="AC61:AD61" si="166">AC20</f>
        <v>FTNT</v>
      </c>
      <c r="AD61" s="6">
        <f t="shared" si="131"/>
        <v>0.03</v>
      </c>
      <c r="AF61" t="str">
        <f t="shared" ref="AF61:AG61" si="167">AF20</f>
        <v>FTNT</v>
      </c>
      <c r="AG61" s="5">
        <f t="shared" si="133"/>
        <v>0.03</v>
      </c>
      <c r="AI61" t="str">
        <f t="shared" ref="AI61:AJ61" si="168">AI20</f>
        <v>FTNT</v>
      </c>
      <c r="AJ61" s="5">
        <f t="shared" si="135"/>
        <v>0.03</v>
      </c>
    </row>
    <row r="62" spans="2:36" x14ac:dyDescent="0.25">
      <c r="B62" t="str">
        <f t="shared" si="112"/>
        <v>LULU</v>
      </c>
      <c r="C62" s="6">
        <f t="shared" si="113"/>
        <v>0.03</v>
      </c>
      <c r="E62" t="str">
        <f t="shared" ref="E62:F62" si="169">E21</f>
        <v>KLAC</v>
      </c>
      <c r="F62" s="6">
        <f t="shared" si="115"/>
        <v>0.03</v>
      </c>
      <c r="H62" t="str">
        <f t="shared" ref="H62:I62" si="170">H21</f>
        <v>KLAC</v>
      </c>
      <c r="I62" s="6">
        <f t="shared" si="117"/>
        <v>0.03</v>
      </c>
      <c r="K62" t="str">
        <f t="shared" ref="K62:L62" si="171">K21</f>
        <v>KLAC</v>
      </c>
      <c r="L62" s="6">
        <f t="shared" si="119"/>
        <v>0.03</v>
      </c>
      <c r="N62" t="str">
        <f t="shared" ref="N62:O62" si="172">N21</f>
        <v>KLAC</v>
      </c>
      <c r="O62" s="6">
        <f t="shared" si="121"/>
        <v>0.03</v>
      </c>
      <c r="Q62" t="str">
        <f t="shared" ref="Q62:R62" si="173">Q21</f>
        <v>KLAC</v>
      </c>
      <c r="R62" s="6">
        <f t="shared" si="123"/>
        <v>0.03</v>
      </c>
      <c r="T62" t="str">
        <f t="shared" ref="T62:U62" si="174">T21</f>
        <v>KLAC</v>
      </c>
      <c r="U62" s="6">
        <f t="shared" si="125"/>
        <v>0.03</v>
      </c>
      <c r="W62" t="str">
        <f t="shared" ref="W62:X62" si="175">W21</f>
        <v>KLAC</v>
      </c>
      <c r="X62" s="6">
        <f t="shared" si="127"/>
        <v>0.03</v>
      </c>
      <c r="Z62" t="str">
        <f t="shared" ref="Z62:AA62" si="176">Z21</f>
        <v>KLAC</v>
      </c>
      <c r="AA62" s="6">
        <f t="shared" si="129"/>
        <v>0.03</v>
      </c>
      <c r="AC62" t="str">
        <f t="shared" ref="AC62:AD62" si="177">AC21</f>
        <v>KLAC</v>
      </c>
      <c r="AD62" s="6">
        <f t="shared" si="131"/>
        <v>0.03</v>
      </c>
      <c r="AF62" t="str">
        <f t="shared" ref="AF62:AG62" si="178">AF21</f>
        <v>KLAC</v>
      </c>
      <c r="AG62" s="5">
        <f t="shared" si="133"/>
        <v>0.03</v>
      </c>
      <c r="AI62" t="str">
        <f t="shared" ref="AI62:AJ62" si="179">AI21</f>
        <v>KLAC</v>
      </c>
      <c r="AJ62" s="5">
        <f t="shared" si="135"/>
        <v>0.03</v>
      </c>
    </row>
    <row r="63" spans="2:36" x14ac:dyDescent="0.25">
      <c r="B63" t="str">
        <f t="shared" si="112"/>
        <v>NVDA</v>
      </c>
      <c r="C63" s="6">
        <f t="shared" si="113"/>
        <v>0.03</v>
      </c>
      <c r="E63" t="str">
        <f t="shared" ref="E63:F63" si="180">E22</f>
        <v>NVDA</v>
      </c>
      <c r="F63" s="6">
        <f t="shared" si="115"/>
        <v>0.03</v>
      </c>
      <c r="H63" t="str">
        <f t="shared" ref="H63:I63" si="181">H22</f>
        <v>NVDA</v>
      </c>
      <c r="I63" s="6">
        <f t="shared" si="117"/>
        <v>0.03</v>
      </c>
      <c r="K63" t="str">
        <f t="shared" ref="K63:L63" si="182">K22</f>
        <v>NVDA</v>
      </c>
      <c r="L63" s="6">
        <f t="shared" si="119"/>
        <v>0.03</v>
      </c>
      <c r="N63" t="str">
        <f t="shared" ref="N63:O63" si="183">N22</f>
        <v>NVDA</v>
      </c>
      <c r="O63" s="6">
        <f t="shared" si="121"/>
        <v>0.03</v>
      </c>
      <c r="Q63" t="str">
        <f t="shared" ref="Q63:R63" si="184">Q22</f>
        <v>NVDA</v>
      </c>
      <c r="R63" s="6">
        <f t="shared" si="123"/>
        <v>0.03</v>
      </c>
      <c r="T63" t="str">
        <f t="shared" ref="T63:U63" si="185">T22</f>
        <v>NVDA</v>
      </c>
      <c r="U63" s="6">
        <f t="shared" si="125"/>
        <v>0.03</v>
      </c>
      <c r="W63" t="str">
        <f t="shared" ref="W63:X63" si="186">W22</f>
        <v>NVDA</v>
      </c>
      <c r="X63" s="6">
        <f t="shared" si="127"/>
        <v>0.03</v>
      </c>
      <c r="Z63" t="str">
        <f t="shared" ref="Z63:AA63" si="187">Z22</f>
        <v>NVDA</v>
      </c>
      <c r="AA63" s="6">
        <f t="shared" si="129"/>
        <v>0.03</v>
      </c>
      <c r="AC63" t="str">
        <f t="shared" ref="AC63:AD63" si="188">AC22</f>
        <v>NVDA</v>
      </c>
      <c r="AD63" s="6">
        <f t="shared" si="131"/>
        <v>0.03</v>
      </c>
      <c r="AF63" t="str">
        <f t="shared" ref="AF63:AG63" si="189">AF22</f>
        <v>NVDA</v>
      </c>
      <c r="AG63" s="5">
        <f t="shared" si="133"/>
        <v>0.03</v>
      </c>
      <c r="AI63" t="str">
        <f t="shared" ref="AI63:AJ63" si="190">AI22</f>
        <v>NVDA</v>
      </c>
      <c r="AJ63" s="5">
        <f t="shared" si="135"/>
        <v>0.03</v>
      </c>
    </row>
    <row r="64" spans="2:36" x14ac:dyDescent="0.25">
      <c r="B64" t="str">
        <f t="shared" si="112"/>
        <v>PDD</v>
      </c>
      <c r="C64" s="6">
        <f t="shared" si="113"/>
        <v>0.03</v>
      </c>
      <c r="E64" t="str">
        <f t="shared" ref="E64:F64" si="191">E23</f>
        <v>PDD</v>
      </c>
      <c r="F64" s="6">
        <f t="shared" si="115"/>
        <v>0.03</v>
      </c>
      <c r="H64" t="str">
        <f t="shared" ref="H64:I64" si="192">H23</f>
        <v>PDD</v>
      </c>
      <c r="I64" s="6">
        <f t="shared" si="117"/>
        <v>0.03</v>
      </c>
      <c r="K64" t="str">
        <f t="shared" ref="K64:L64" si="193">K23</f>
        <v>PDD</v>
      </c>
      <c r="L64" s="6">
        <f t="shared" si="119"/>
        <v>0.03</v>
      </c>
      <c r="N64" t="str">
        <f t="shared" ref="N64:O64" si="194">N23</f>
        <v>PDD</v>
      </c>
      <c r="O64" s="6">
        <f t="shared" si="121"/>
        <v>0.03</v>
      </c>
      <c r="Q64" t="str">
        <f t="shared" ref="Q64:R64" si="195">Q23</f>
        <v>PDD</v>
      </c>
      <c r="R64" s="6">
        <f t="shared" si="123"/>
        <v>0.03</v>
      </c>
      <c r="T64" t="str">
        <f t="shared" ref="T64:U64" si="196">T23</f>
        <v>PDD</v>
      </c>
      <c r="U64" s="6">
        <f t="shared" si="125"/>
        <v>0.03</v>
      </c>
      <c r="W64" t="str">
        <f t="shared" ref="W64:X64" si="197">W23</f>
        <v>PDD</v>
      </c>
      <c r="X64" s="6">
        <f t="shared" si="127"/>
        <v>0.03</v>
      </c>
      <c r="Z64" t="str">
        <f t="shared" ref="Z64:AA64" si="198">Z23</f>
        <v>PDD</v>
      </c>
      <c r="AA64" s="6">
        <f t="shared" si="129"/>
        <v>0.03</v>
      </c>
      <c r="AC64" t="str">
        <f t="shared" ref="AC64:AD64" si="199">AC23</f>
        <v>PDD</v>
      </c>
      <c r="AD64" s="6">
        <f t="shared" si="131"/>
        <v>0.03</v>
      </c>
      <c r="AF64" t="str">
        <f t="shared" ref="AF64:AG64" si="200">AF23</f>
        <v>PDD</v>
      </c>
      <c r="AG64" s="5">
        <f t="shared" si="133"/>
        <v>0.03</v>
      </c>
      <c r="AI64" t="str">
        <f t="shared" ref="AI64:AJ64" si="201">AI23</f>
        <v>PDD</v>
      </c>
      <c r="AJ64" s="5">
        <f t="shared" si="135"/>
        <v>0.03</v>
      </c>
    </row>
    <row r="65" spans="2:36" x14ac:dyDescent="0.25">
      <c r="B65" t="str">
        <f t="shared" si="112"/>
        <v>VRSK</v>
      </c>
      <c r="C65" s="6">
        <f t="shared" si="113"/>
        <v>0.03</v>
      </c>
      <c r="E65" t="str">
        <f t="shared" ref="E65:F65" si="202">E24</f>
        <v>VRSK</v>
      </c>
      <c r="F65" s="6">
        <f t="shared" si="115"/>
        <v>0.03</v>
      </c>
      <c r="H65" t="str">
        <f t="shared" ref="H65:I65" si="203">H24</f>
        <v>VRSK</v>
      </c>
      <c r="I65" s="6">
        <f t="shared" si="117"/>
        <v>0.03</v>
      </c>
      <c r="K65" t="str">
        <f t="shared" ref="K65:L65" si="204">K24</f>
        <v>VRSK</v>
      </c>
      <c r="L65" s="6">
        <f t="shared" si="119"/>
        <v>0.03</v>
      </c>
      <c r="N65" t="str">
        <f t="shared" ref="N65:O65" si="205">N24</f>
        <v>VRSK</v>
      </c>
      <c r="O65" s="6">
        <f t="shared" si="121"/>
        <v>0.03</v>
      </c>
      <c r="Q65" t="str">
        <f t="shared" ref="Q65:R65" si="206">Q24</f>
        <v>VRSK</v>
      </c>
      <c r="R65" s="6">
        <f t="shared" si="123"/>
        <v>0.03</v>
      </c>
      <c r="T65" t="str">
        <f t="shared" ref="T65:U65" si="207">T24</f>
        <v>VRSK</v>
      </c>
      <c r="U65" s="6">
        <f t="shared" si="125"/>
        <v>0.03</v>
      </c>
      <c r="W65" t="str">
        <f t="shared" ref="W65:X65" si="208">W24</f>
        <v>VRSK</v>
      </c>
      <c r="X65" s="6">
        <f t="shared" si="127"/>
        <v>0.03</v>
      </c>
      <c r="Z65" t="str">
        <f t="shared" ref="Z65:AA65" si="209">Z24</f>
        <v>VRSK</v>
      </c>
      <c r="AA65" s="6">
        <f t="shared" si="129"/>
        <v>0.03</v>
      </c>
      <c r="AC65" t="str">
        <f t="shared" ref="AC65:AD65" si="210">AC24</f>
        <v>VRSK</v>
      </c>
      <c r="AD65" s="6">
        <f t="shared" si="131"/>
        <v>0.03</v>
      </c>
      <c r="AF65" t="str">
        <f t="shared" ref="AF65:AG65" si="211">AF24</f>
        <v>VRSK</v>
      </c>
      <c r="AG65" s="5">
        <f t="shared" si="133"/>
        <v>0.03</v>
      </c>
      <c r="AI65" t="str">
        <f t="shared" ref="AI65:AJ65" si="212">AI24</f>
        <v>VRSK</v>
      </c>
      <c r="AJ65" s="5">
        <f t="shared" si="135"/>
        <v>0.03</v>
      </c>
    </row>
    <row r="66" spans="2:36" x14ac:dyDescent="0.25">
      <c r="B66" t="str">
        <f t="shared" si="112"/>
        <v>WBD</v>
      </c>
      <c r="C66" s="6">
        <f t="shared" si="113"/>
        <v>0.03</v>
      </c>
      <c r="E66" t="str">
        <f t="shared" ref="E66:F66" si="213">E25</f>
        <v>WBD</v>
      </c>
      <c r="F66" s="6">
        <f t="shared" si="115"/>
        <v>0.03</v>
      </c>
      <c r="H66" t="str">
        <f t="shared" ref="H66:I66" si="214">H25</f>
        <v>WBD</v>
      </c>
      <c r="I66" s="6">
        <f t="shared" si="117"/>
        <v>0.03</v>
      </c>
      <c r="K66" t="str">
        <f t="shared" ref="K66:L66" si="215">K25</f>
        <v>WBD</v>
      </c>
      <c r="L66" s="6">
        <f t="shared" si="119"/>
        <v>0.03</v>
      </c>
      <c r="N66" t="str">
        <f t="shared" ref="N66:O66" si="216">N25</f>
        <v>WBD</v>
      </c>
      <c r="O66" s="6">
        <f t="shared" si="121"/>
        <v>0.03</v>
      </c>
      <c r="Q66" t="str">
        <f t="shared" ref="Q66:R66" si="217">Q25</f>
        <v>WBD</v>
      </c>
      <c r="R66" s="6">
        <f t="shared" si="123"/>
        <v>0.03</v>
      </c>
      <c r="T66" t="str">
        <f t="shared" ref="T66:U66" si="218">T25</f>
        <v>WBD</v>
      </c>
      <c r="U66" s="6">
        <f t="shared" si="125"/>
        <v>0.03</v>
      </c>
      <c r="W66" t="str">
        <f t="shared" ref="W66:X66" si="219">W25</f>
        <v>WBD</v>
      </c>
      <c r="X66" s="6">
        <f t="shared" si="127"/>
        <v>0.03</v>
      </c>
      <c r="Z66" t="str">
        <f t="shared" ref="Z66:AA66" si="220">Z25</f>
        <v>WBD</v>
      </c>
      <c r="AA66" s="6">
        <f t="shared" si="129"/>
        <v>0.03</v>
      </c>
      <c r="AC66" t="str">
        <f t="shared" ref="AC66:AD66" si="221">AC25</f>
        <v>WBD</v>
      </c>
      <c r="AD66" s="6">
        <f t="shared" si="131"/>
        <v>0.03</v>
      </c>
      <c r="AF66" t="str">
        <f t="shared" ref="AF66:AG66" si="222">AF25</f>
        <v>WBD</v>
      </c>
      <c r="AG66" s="5">
        <f t="shared" si="133"/>
        <v>0.03</v>
      </c>
      <c r="AI66" t="str">
        <f t="shared" ref="AI66:AJ66" si="223">AI25</f>
        <v>WBD</v>
      </c>
      <c r="AJ66" s="5">
        <f t="shared" si="135"/>
        <v>0.03</v>
      </c>
    </row>
    <row r="67" spans="2:36" x14ac:dyDescent="0.25">
      <c r="B67" t="str">
        <f>B29</f>
        <v>USMV</v>
      </c>
      <c r="C67" s="6">
        <f>C29*$B$27</f>
        <v>4.0094050521599006E-2</v>
      </c>
      <c r="E67" t="str">
        <f>E29</f>
        <v>USMV</v>
      </c>
      <c r="F67" s="6">
        <f>F29*$B$27</f>
        <v>4.14232002182022E-2</v>
      </c>
      <c r="H67" t="str">
        <f>H29</f>
        <v>USMV</v>
      </c>
      <c r="I67" s="6">
        <f>I29*$B$27</f>
        <v>3.9235072985226202E-2</v>
      </c>
      <c r="K67" t="str">
        <f>K29</f>
        <v>XLP</v>
      </c>
      <c r="L67" s="6">
        <f>L29*$B$27</f>
        <v>3.9914477292776203E-2</v>
      </c>
      <c r="N67" t="str">
        <f>N29</f>
        <v>XLP</v>
      </c>
      <c r="O67" s="6">
        <f>O29*$B$27</f>
        <v>4.9794394712637607E-2</v>
      </c>
      <c r="Q67" t="str">
        <f>Q29</f>
        <v>XLP</v>
      </c>
      <c r="R67" s="6">
        <f>R29*$B$27</f>
        <v>4.91551006261862E-2</v>
      </c>
      <c r="T67" t="str">
        <f>T29</f>
        <v>XLP</v>
      </c>
      <c r="U67" s="6">
        <f>U29*$B$27</f>
        <v>4.8797063869287199E-2</v>
      </c>
      <c r="W67" t="str">
        <f>W29</f>
        <v>XLP</v>
      </c>
      <c r="X67" s="6">
        <f>X29*$B$27</f>
        <v>4.9113803747093204E-2</v>
      </c>
      <c r="Z67" t="str">
        <f>Z29</f>
        <v>VIG</v>
      </c>
      <c r="AA67" s="6">
        <f>AA29*$B$27</f>
        <v>3.5537304894665403E-2</v>
      </c>
      <c r="AC67" t="str">
        <f>AC29</f>
        <v>XLP</v>
      </c>
      <c r="AD67" s="6">
        <f>AD29*$B$27</f>
        <v>3.8707795736938402E-2</v>
      </c>
      <c r="AF67" t="str">
        <f>AF29</f>
        <v>DGRO</v>
      </c>
      <c r="AG67" s="5">
        <f>AG29*$B$27</f>
        <v>3.9377194926970602E-2</v>
      </c>
      <c r="AI67" t="str">
        <f>AI29</f>
        <v>VOO</v>
      </c>
      <c r="AJ67" s="5">
        <f>AJ29*$B$27</f>
        <v>3.6560518404952606E-2</v>
      </c>
    </row>
    <row r="68" spans="2:36" x14ac:dyDescent="0.25">
      <c r="B68" t="str">
        <f t="shared" ref="B68:C73" si="224">B30</f>
        <v>VIG</v>
      </c>
      <c r="C68" s="6">
        <f t="shared" ref="C68:C72" si="225">C30*$B$27</f>
        <v>3.3337350919421999E-2</v>
      </c>
      <c r="E68" t="str">
        <f t="shared" ref="E68:F68" si="226">E30</f>
        <v>VTV</v>
      </c>
      <c r="F68" s="6">
        <f t="shared" ref="F68:F72" si="227">F30*$B$27</f>
        <v>3.4998374225824205E-2</v>
      </c>
      <c r="H68" t="str">
        <f t="shared" ref="H68:I68" si="228">H30</f>
        <v>XLV</v>
      </c>
      <c r="I68" s="6">
        <f t="shared" ref="I68:I72" si="229">I30*$B$27</f>
        <v>3.5277686090558605E-2</v>
      </c>
      <c r="K68" t="str">
        <f t="shared" ref="K68:L68" si="230">K30</f>
        <v>SPLV</v>
      </c>
      <c r="L68" s="6">
        <f t="shared" ref="L68:L72" si="231">L30*$B$27</f>
        <v>3.9310050336762402E-2</v>
      </c>
      <c r="N68" t="str">
        <f t="shared" ref="N68:O68" si="232">N30</f>
        <v>DGRO</v>
      </c>
      <c r="O68" s="6">
        <f t="shared" ref="O68:O72" si="233">O30*$B$27</f>
        <v>3.1618276659255803E-2</v>
      </c>
      <c r="Q68" t="str">
        <f t="shared" ref="Q68:R68" si="234">Q30</f>
        <v>DGRO</v>
      </c>
      <c r="R68" s="6">
        <f t="shared" ref="R68:R72" si="235">R30*$B$27</f>
        <v>3.1952188431236601E-2</v>
      </c>
      <c r="T68" t="str">
        <f t="shared" ref="T68:U68" si="236">T30</f>
        <v>DGRO</v>
      </c>
      <c r="U68" s="6">
        <f t="shared" ref="U68:U72" si="237">U30*$B$27</f>
        <v>3.5190659656361201E-2</v>
      </c>
      <c r="W68" t="str">
        <f t="shared" ref="W68:X68" si="238">W30</f>
        <v>USMV</v>
      </c>
      <c r="X68" s="6">
        <f t="shared" ref="X68:X72" si="239">X30*$B$27</f>
        <v>3.5561210680317999E-2</v>
      </c>
      <c r="Z68" t="str">
        <f t="shared" ref="Z68:AA68" si="240">Z30</f>
        <v>USMV</v>
      </c>
      <c r="AA68" s="6">
        <f t="shared" ref="AA68:AA72" si="241">AA30*$B$27</f>
        <v>3.5353288523987399E-2</v>
      </c>
      <c r="AC68" t="str">
        <f t="shared" ref="AC68:AD68" si="242">AC30</f>
        <v>VIG</v>
      </c>
      <c r="AD68" s="6">
        <f t="shared" ref="AD68:AD72" si="243">AD30*$B$27</f>
        <v>3.4514154274710405E-2</v>
      </c>
      <c r="AF68" t="str">
        <f t="shared" ref="AF68:AG68" si="244">AF30</f>
        <v>VIG</v>
      </c>
      <c r="AG68" s="5">
        <f t="shared" ref="AG68:AG72" si="245">AG30*$B$27</f>
        <v>3.8227274405011807E-2</v>
      </c>
      <c r="AI68" t="str">
        <f t="shared" ref="AI68:AJ68" si="246">AI30</f>
        <v>DGRO</v>
      </c>
      <c r="AJ68" s="5">
        <f t="shared" ref="AJ68:AJ72" si="247">AJ30*$B$27</f>
        <v>3.5731580702414605E-2</v>
      </c>
    </row>
    <row r="69" spans="2:36" x14ac:dyDescent="0.25">
      <c r="B69" t="str">
        <f t="shared" si="224"/>
        <v>VTV</v>
      </c>
      <c r="C69" s="6">
        <f t="shared" si="225"/>
        <v>3.3101222067163198E-2</v>
      </c>
      <c r="E69" t="str">
        <f t="shared" ref="E69:F69" si="248">E31</f>
        <v>VIG</v>
      </c>
      <c r="F69" s="6">
        <f t="shared" si="227"/>
        <v>3.4746252554317805E-2</v>
      </c>
      <c r="H69" t="str">
        <f t="shared" ref="H69:I69" si="249">H31</f>
        <v>VTV</v>
      </c>
      <c r="I69" s="6">
        <f t="shared" si="229"/>
        <v>3.3565320533248198E-2</v>
      </c>
      <c r="K69" t="str">
        <f t="shared" ref="K69:L69" si="250">K31</f>
        <v>USMV</v>
      </c>
      <c r="L69" s="6">
        <f t="shared" si="231"/>
        <v>3.5375313023653397E-2</v>
      </c>
      <c r="N69" t="str">
        <f t="shared" ref="N69:O69" si="251">N31</f>
        <v>VIG</v>
      </c>
      <c r="O69" s="6">
        <f t="shared" si="233"/>
        <v>3.0890171681554602E-2</v>
      </c>
      <c r="Q69" t="str">
        <f t="shared" ref="Q69:R69" si="252">Q31</f>
        <v>VIG</v>
      </c>
      <c r="R69" s="6">
        <f t="shared" si="235"/>
        <v>3.184303849306E-2</v>
      </c>
      <c r="T69" t="str">
        <f t="shared" ref="T69:U69" si="253">T31</f>
        <v>VTV</v>
      </c>
      <c r="U69" s="6">
        <f t="shared" si="237"/>
        <v>3.2170457834494202E-2</v>
      </c>
      <c r="W69" t="str">
        <f t="shared" ref="W69:X69" si="254">W31</f>
        <v>VTV</v>
      </c>
      <c r="X69" s="6">
        <f t="shared" si="239"/>
        <v>3.10430619134224E-2</v>
      </c>
      <c r="Z69" t="str">
        <f t="shared" ref="Z69:AA69" si="255">Z31</f>
        <v>DGRO</v>
      </c>
      <c r="AA69" s="6">
        <f t="shared" si="241"/>
        <v>3.5323198149459403E-2</v>
      </c>
      <c r="AC69" t="str">
        <f t="shared" ref="AC69:AD69" si="256">AC31</f>
        <v>USMV</v>
      </c>
      <c r="AD69" s="6">
        <f t="shared" si="243"/>
        <v>3.3935080841741003E-2</v>
      </c>
      <c r="AF69" t="str">
        <f t="shared" ref="AF69:AG69" si="257">AF31</f>
        <v>USMV</v>
      </c>
      <c r="AG69" s="5">
        <f t="shared" si="245"/>
        <v>3.6910223150285401E-2</v>
      </c>
      <c r="AI69" t="str">
        <f t="shared" ref="AI69:AJ69" si="258">AI31</f>
        <v>SCHD</v>
      </c>
      <c r="AJ69" s="5">
        <f t="shared" si="247"/>
        <v>3.43629588345142E-2</v>
      </c>
    </row>
    <row r="70" spans="2:36" x14ac:dyDescent="0.25">
      <c r="B70" t="str">
        <f t="shared" si="224"/>
        <v>DGRO</v>
      </c>
      <c r="C70" s="6">
        <f t="shared" si="225"/>
        <v>3.2187015211036604E-2</v>
      </c>
      <c r="E70" t="str">
        <f t="shared" ref="E70:F70" si="259">E32</f>
        <v>QUAL</v>
      </c>
      <c r="F70" s="6">
        <f t="shared" si="227"/>
        <v>3.2444828845948799E-2</v>
      </c>
      <c r="H70" t="str">
        <f t="shared" ref="H70:I70" si="260">H32</f>
        <v>VIG</v>
      </c>
      <c r="I70" s="6">
        <f t="shared" si="229"/>
        <v>3.3030171410400801E-2</v>
      </c>
      <c r="K70" t="str">
        <f t="shared" ref="K70:L70" si="261">K32</f>
        <v>VIG</v>
      </c>
      <c r="L70" s="6">
        <f t="shared" si="231"/>
        <v>3.0604472642236005E-2</v>
      </c>
      <c r="N70" t="str">
        <f t="shared" ref="N70:O70" si="262">N32</f>
        <v>VTV</v>
      </c>
      <c r="O70" s="6">
        <f t="shared" si="233"/>
        <v>3.0759343060316403E-2</v>
      </c>
      <c r="Q70" t="str">
        <f t="shared" ref="Q70:R70" si="263">Q32</f>
        <v>VTV</v>
      </c>
      <c r="R70" s="6">
        <f t="shared" si="235"/>
        <v>2.9947390921185403E-2</v>
      </c>
      <c r="T70" t="str">
        <f t="shared" ref="T70:U70" si="264">T32</f>
        <v>VOO</v>
      </c>
      <c r="U70" s="6">
        <f t="shared" si="237"/>
        <v>3.0827530651626401E-2</v>
      </c>
      <c r="W70" t="str">
        <f t="shared" ref="W70:X70" si="265">W32</f>
        <v>VOO</v>
      </c>
      <c r="X70" s="6">
        <f t="shared" si="239"/>
        <v>3.0911106008610401E-2</v>
      </c>
      <c r="Z70" t="str">
        <f t="shared" ref="Z70:AA70" si="266">Z32</f>
        <v>VOO</v>
      </c>
      <c r="AA70" s="6">
        <f t="shared" si="241"/>
        <v>3.4516654051148399E-2</v>
      </c>
      <c r="AC70" t="str">
        <f t="shared" ref="AC70:AD70" si="267">AC32</f>
        <v>SPLV</v>
      </c>
      <c r="AD70" s="6">
        <f t="shared" si="243"/>
        <v>3.3743929722037803E-2</v>
      </c>
      <c r="AF70" t="str">
        <f t="shared" ref="AF70:AG70" si="268">AF32</f>
        <v>VOO</v>
      </c>
      <c r="AG70" s="5">
        <f t="shared" si="245"/>
        <v>3.5775557202052798E-2</v>
      </c>
      <c r="AI70" t="str">
        <f t="shared" ref="AI70:AJ70" si="269">AI32</f>
        <v>USMV</v>
      </c>
      <c r="AJ70" s="5">
        <f t="shared" si="247"/>
        <v>3.3741678423737397E-2</v>
      </c>
    </row>
    <row r="71" spans="2:36" x14ac:dyDescent="0.25">
      <c r="B71" t="str">
        <f t="shared" si="224"/>
        <v>QUAL</v>
      </c>
      <c r="C71" s="6">
        <f t="shared" si="225"/>
        <v>3.1036182177789601E-2</v>
      </c>
      <c r="E71" t="str">
        <f t="shared" ref="E71:F71" si="270">E33</f>
        <v>VOO</v>
      </c>
      <c r="F71" s="6">
        <f t="shared" si="227"/>
        <v>3.1528463401348801E-2</v>
      </c>
      <c r="H71" t="str">
        <f t="shared" ref="H71:I71" si="271">H33</f>
        <v>VOO</v>
      </c>
      <c r="I71" s="6">
        <f t="shared" si="229"/>
        <v>2.9469077958668599E-2</v>
      </c>
      <c r="K71" t="str">
        <f t="shared" ref="K71:L71" si="272">K33</f>
        <v>QUAL</v>
      </c>
      <c r="L71" s="6">
        <f t="shared" si="231"/>
        <v>2.78791130279884E-2</v>
      </c>
      <c r="N71" t="str">
        <f t="shared" ref="N71:O71" si="273">N33</f>
        <v>VOO</v>
      </c>
      <c r="O71" s="6">
        <f t="shared" si="233"/>
        <v>2.8727493073935403E-2</v>
      </c>
      <c r="Q71" t="str">
        <f t="shared" ref="Q71:R71" si="274">Q33</f>
        <v>VOO</v>
      </c>
      <c r="R71" s="6">
        <f t="shared" si="235"/>
        <v>2.9465528882944399E-2</v>
      </c>
      <c r="T71" t="str">
        <f t="shared" ref="T71:U71" si="275">T33</f>
        <v>QUAL</v>
      </c>
      <c r="U71" s="6">
        <f t="shared" si="237"/>
        <v>2.8792105537466001E-2</v>
      </c>
      <c r="W71" t="str">
        <f t="shared" ref="W71:X71" si="276">W33</f>
        <v>QUAL</v>
      </c>
      <c r="X71" s="6">
        <f t="shared" si="239"/>
        <v>2.8624590051590199E-2</v>
      </c>
      <c r="Z71" t="str">
        <f t="shared" ref="Z71:AA71" si="277">Z33</f>
        <v>VTV</v>
      </c>
      <c r="AA71" s="6">
        <f t="shared" si="241"/>
        <v>3.3090216877782803E-2</v>
      </c>
      <c r="AC71" t="str">
        <f t="shared" ref="AC71:AD71" si="278">AC33</f>
        <v>VOO</v>
      </c>
      <c r="AD71" s="6">
        <f t="shared" si="243"/>
        <v>3.3681134954181603E-2</v>
      </c>
      <c r="AF71" t="str">
        <f t="shared" ref="AF71:AG71" si="279">AF33</f>
        <v>QUAL</v>
      </c>
      <c r="AG71" s="5">
        <f t="shared" si="245"/>
        <v>2.98912346892122E-2</v>
      </c>
      <c r="AI71" t="str">
        <f t="shared" ref="AI71:AJ71" si="280">AI33</f>
        <v>SPLV</v>
      </c>
      <c r="AJ71" s="5">
        <f t="shared" si="247"/>
        <v>3.1740911722358801E-2</v>
      </c>
    </row>
    <row r="72" spans="2:36" x14ac:dyDescent="0.25">
      <c r="B72" t="str">
        <f t="shared" si="224"/>
        <v>VOO</v>
      </c>
      <c r="C72" s="6">
        <f t="shared" si="225"/>
        <v>3.02441791029892E-2</v>
      </c>
      <c r="E72" t="str">
        <f t="shared" ref="E72:F72" si="281">E34</f>
        <v>XLRE</v>
      </c>
      <c r="F72" s="6">
        <f t="shared" si="227"/>
        <v>2.4858880754357399E-2</v>
      </c>
      <c r="H72" t="str">
        <f t="shared" ref="H72:I72" si="282">H34</f>
        <v>QUAL</v>
      </c>
      <c r="I72" s="6">
        <f t="shared" si="229"/>
        <v>2.9422671021897003E-2</v>
      </c>
      <c r="K72" t="str">
        <f t="shared" ref="K72:L72" si="283">K34</f>
        <v>VOO</v>
      </c>
      <c r="L72" s="6">
        <f t="shared" si="231"/>
        <v>2.6916573676583202E-2</v>
      </c>
      <c r="N72" t="str">
        <f t="shared" ref="N72:O72" si="284">N34</f>
        <v>QUAL</v>
      </c>
      <c r="O72" s="6">
        <f t="shared" si="233"/>
        <v>2.8210320812299801E-2</v>
      </c>
      <c r="Q72" t="str">
        <f t="shared" ref="Q72:R72" si="285">Q34</f>
        <v>QUAL</v>
      </c>
      <c r="R72" s="6">
        <f t="shared" si="235"/>
        <v>2.76367526453868E-2</v>
      </c>
      <c r="T72" t="str">
        <f t="shared" ref="T72:U72" si="286">T34</f>
        <v>XLU</v>
      </c>
      <c r="U72" s="6">
        <f t="shared" si="237"/>
        <v>2.4222182450764199E-2</v>
      </c>
      <c r="W72" t="str">
        <f t="shared" ref="W72:X72" si="287">W34</f>
        <v>XLU</v>
      </c>
      <c r="X72" s="6">
        <f t="shared" si="239"/>
        <v>2.4746227598965203E-2</v>
      </c>
      <c r="Z72" t="str">
        <f t="shared" ref="Z72:AA72" si="288">Z34</f>
        <v>XLU</v>
      </c>
      <c r="AA72" s="6">
        <f t="shared" si="241"/>
        <v>2.6179337502956004E-2</v>
      </c>
      <c r="AC72" t="str">
        <f t="shared" ref="AC72:AD72" si="289">AC34</f>
        <v>XLU</v>
      </c>
      <c r="AD72" s="6">
        <f t="shared" si="243"/>
        <v>2.5417904470390003E-2</v>
      </c>
      <c r="AF72" t="str">
        <f t="shared" ref="AF72:AG72" si="290">AF34</f>
        <v>XLRE</v>
      </c>
      <c r="AG72" s="5">
        <f t="shared" si="245"/>
        <v>1.981851562646654E-2</v>
      </c>
      <c r="AI72" t="str">
        <f t="shared" ref="AI72:AJ72" si="291">AI34</f>
        <v>XLRE</v>
      </c>
      <c r="AJ72" s="5">
        <f t="shared" si="247"/>
        <v>2.7862351912021799E-2</v>
      </c>
    </row>
    <row r="73" spans="2:36" x14ac:dyDescent="0.25">
      <c r="B73" t="str">
        <f>B38</f>
        <v>SHY</v>
      </c>
      <c r="C73" s="6">
        <f>C38*$B$36</f>
        <v>3.51037391192097E-2</v>
      </c>
      <c r="E73" t="str">
        <f>E38</f>
        <v>SHY</v>
      </c>
      <c r="F73" s="6">
        <f>F38*$B$36</f>
        <v>3.6072575867477502E-2</v>
      </c>
      <c r="H73" t="str">
        <f>H38</f>
        <v>SHY</v>
      </c>
      <c r="I73" s="6">
        <f>I38*$B$36</f>
        <v>3.1567255361081202E-2</v>
      </c>
      <c r="K73" t="str">
        <f>K38</f>
        <v>SHY</v>
      </c>
      <c r="L73" s="6">
        <f>L38*$B$36</f>
        <v>2.7757820196523397E-2</v>
      </c>
      <c r="N73" t="str">
        <f>N38</f>
        <v>XLK</v>
      </c>
      <c r="O73" s="6">
        <f>O38*$B$36</f>
        <v>2.59215353172026E-2</v>
      </c>
      <c r="Q73" t="str">
        <f>Q38</f>
        <v>XLP</v>
      </c>
      <c r="R73" s="6">
        <f>R38*$B$36</f>
        <v>1.8606065426469202E-2</v>
      </c>
      <c r="T73" t="str">
        <f>T38</f>
        <v>XLP</v>
      </c>
      <c r="U73" s="6">
        <f>U38*$B$36</f>
        <v>1.8496098197249299E-2</v>
      </c>
      <c r="W73" t="str">
        <f>W38</f>
        <v>XLK</v>
      </c>
      <c r="X73" s="6">
        <f>X38*$B$36</f>
        <v>2.6005618372172801E-2</v>
      </c>
      <c r="Z73" t="str">
        <f>Z38</f>
        <v>SHY</v>
      </c>
      <c r="AA73" s="6">
        <f>AA38*$B$36</f>
        <v>2.9815518453360904E-2</v>
      </c>
      <c r="AC73" t="str">
        <f>AC38</f>
        <v>SHY</v>
      </c>
      <c r="AD73" s="6">
        <f>AD38*$B$36</f>
        <v>2.8809244569454103E-2</v>
      </c>
      <c r="AF73" t="str">
        <f>AF38</f>
        <v>SHY</v>
      </c>
      <c r="AG73" s="5">
        <f>AG38*$B$36</f>
        <v>2.5357203440787304E-2</v>
      </c>
      <c r="AI73" t="str">
        <f>AI38</f>
        <v>SHY</v>
      </c>
      <c r="AJ73" s="5">
        <f>AJ38*$B$36</f>
        <v>2.75028201661663E-2</v>
      </c>
    </row>
    <row r="74" spans="2:36" x14ac:dyDescent="0.25">
      <c r="B74" t="str">
        <f t="shared" ref="B74:C78" si="292">B39</f>
        <v>XLK</v>
      </c>
      <c r="C74" s="6">
        <f t="shared" ref="C74:C78" si="293">C39*$B$36</f>
        <v>2.4080230099155702E-2</v>
      </c>
      <c r="E74" t="str">
        <f t="shared" ref="E74:F74" si="294">E39</f>
        <v>XLK</v>
      </c>
      <c r="F74" s="6">
        <f t="shared" ref="F74:F78" si="295">F39*$B$36</f>
        <v>2.4143326386834699E-2</v>
      </c>
      <c r="H74" t="str">
        <f t="shared" ref="H74:I74" si="296">H39</f>
        <v>XLK</v>
      </c>
      <c r="I74" s="6">
        <f t="shared" ref="I74:I78" si="297">I39*$B$36</f>
        <v>2.43883447463463E-2</v>
      </c>
      <c r="K74" t="str">
        <f t="shared" ref="K74:L74" si="298">K39</f>
        <v>XLK</v>
      </c>
      <c r="L74" s="6">
        <f t="shared" ref="L74:L78" si="299">L39*$B$36</f>
        <v>2.45581787025115E-2</v>
      </c>
      <c r="N74" t="str">
        <f t="shared" ref="N74:O74" si="300">N39</f>
        <v>XLP</v>
      </c>
      <c r="O74" s="6">
        <f t="shared" ref="O74:O78" si="301">O39*$B$36</f>
        <v>1.9653739585710001E-2</v>
      </c>
      <c r="Q74" t="str">
        <f t="shared" ref="Q74:R74" si="302">Q39</f>
        <v>SPLV</v>
      </c>
      <c r="R74" s="6">
        <f t="shared" ref="R74:R79" si="303">R39*$B$36</f>
        <v>1.5123138547253601E-2</v>
      </c>
      <c r="T74" t="str">
        <f t="shared" ref="T74:U74" si="304">T39</f>
        <v>DBC</v>
      </c>
      <c r="U74" s="6">
        <f t="shared" ref="U74:U79" si="305">U39*$B$36</f>
        <v>1.63167163006025E-2</v>
      </c>
      <c r="W74" t="str">
        <f t="shared" ref="W74:X74" si="306">W39</f>
        <v>XLP</v>
      </c>
      <c r="X74" s="6">
        <f t="shared" ref="X74:X78" si="307">X39*$B$36</f>
        <v>2.0038748487343602E-2</v>
      </c>
      <c r="Z74" t="str">
        <f t="shared" ref="Z74:AA74" si="308">Z39</f>
        <v>XLK</v>
      </c>
      <c r="AA74" s="6">
        <f t="shared" ref="AA74:AA79" si="309">AA39*$B$36</f>
        <v>1.4999999999999999E-2</v>
      </c>
      <c r="AC74" t="str">
        <f t="shared" ref="AC74:AD74" si="310">AC39</f>
        <v>XLK</v>
      </c>
      <c r="AD74" s="6">
        <f t="shared" ref="AD74:AD79" si="311">AD39*$B$36</f>
        <v>1.4999999999999999E-2</v>
      </c>
      <c r="AF74" t="str">
        <f t="shared" ref="AF74:AG74" si="312">AF39</f>
        <v>XLK</v>
      </c>
      <c r="AG74" s="5">
        <f t="shared" ref="AG74:AG78" si="313">AG39*$B$36</f>
        <v>1.4999999999999999E-2</v>
      </c>
      <c r="AI74" t="str">
        <f t="shared" ref="AI74:AJ74" si="314">AI39</f>
        <v>XLK</v>
      </c>
      <c r="AJ74" s="5">
        <f t="shared" ref="AJ74:AJ78" si="315">AJ39*$B$36</f>
        <v>1.4999999999999999E-2</v>
      </c>
    </row>
    <row r="75" spans="2:36" x14ac:dyDescent="0.25">
      <c r="B75" t="str">
        <f t="shared" si="292"/>
        <v>USMV</v>
      </c>
      <c r="C75" s="6">
        <f t="shared" si="293"/>
        <v>1.10601395178358E-2</v>
      </c>
      <c r="E75" t="str">
        <f t="shared" ref="E75:F75" si="316">E40</f>
        <v>USMV</v>
      </c>
      <c r="F75" s="6">
        <f t="shared" si="295"/>
        <v>1.11475768898437E-2</v>
      </c>
      <c r="H75" t="str">
        <f t="shared" ref="H75:I75" si="317">H40</f>
        <v>SPLV</v>
      </c>
      <c r="I75" s="6">
        <f t="shared" si="297"/>
        <v>1.1897155412842201E-2</v>
      </c>
      <c r="K75" t="str">
        <f t="shared" ref="K75:L75" si="318">K40</f>
        <v>XLP</v>
      </c>
      <c r="L75" s="6">
        <f t="shared" si="299"/>
        <v>1.2988165076821202E-2</v>
      </c>
      <c r="N75" t="str">
        <f t="shared" ref="N75:O75" si="319">N40</f>
        <v>SPLV</v>
      </c>
      <c r="O75" s="6">
        <f t="shared" si="301"/>
        <v>1.5354677719793401E-2</v>
      </c>
      <c r="Q75" t="str">
        <f t="shared" ref="Q75:R75" si="320">Q40</f>
        <v>XLK</v>
      </c>
      <c r="R75" s="6">
        <f t="shared" si="303"/>
        <v>1.4999999999999999E-2</v>
      </c>
      <c r="T75" t="str">
        <f t="shared" ref="T75:U75" si="321">T40</f>
        <v>XLK</v>
      </c>
      <c r="U75" s="6">
        <f t="shared" si="305"/>
        <v>1.4999999999999999E-2</v>
      </c>
      <c r="W75" t="str">
        <f t="shared" ref="W75:X75" si="322">W40</f>
        <v>VXUS</v>
      </c>
      <c r="X75" s="6">
        <f t="shared" si="307"/>
        <v>1.5705778069196499E-2</v>
      </c>
      <c r="Z75" t="str">
        <f t="shared" ref="Z75:AA75" si="323">Z40</f>
        <v>VXUS</v>
      </c>
      <c r="AA75" s="6">
        <f t="shared" si="309"/>
        <v>1.2168483867789801E-2</v>
      </c>
      <c r="AC75" t="str">
        <f t="shared" ref="AC75:AD75" si="324">AC40</f>
        <v>GLD</v>
      </c>
      <c r="AD75" s="6">
        <f t="shared" si="311"/>
        <v>1.28081213878083E-2</v>
      </c>
      <c r="AF75" t="str">
        <f t="shared" ref="AF75:AG75" si="325">AF40</f>
        <v>VTI</v>
      </c>
      <c r="AG75" s="5">
        <f t="shared" si="313"/>
        <v>1.3453803702704402E-2</v>
      </c>
      <c r="AI75" t="str">
        <f t="shared" ref="AI75:AJ75" si="326">AI40</f>
        <v>VTI</v>
      </c>
      <c r="AJ75" s="5">
        <f t="shared" si="315"/>
        <v>1.2414778465853701E-2</v>
      </c>
    </row>
    <row r="76" spans="2:36" x14ac:dyDescent="0.25">
      <c r="B76" t="str">
        <f t="shared" si="292"/>
        <v>GLD</v>
      </c>
      <c r="C76" s="6">
        <f t="shared" si="293"/>
        <v>1.0278621789730602E-2</v>
      </c>
      <c r="E76" t="str">
        <f t="shared" ref="E76:F76" si="327">E41</f>
        <v>GLD</v>
      </c>
      <c r="F76" s="6">
        <f t="shared" si="295"/>
        <v>1.0309658878044102E-2</v>
      </c>
      <c r="H76" t="str">
        <f t="shared" ref="H76:I76" si="328">H41</f>
        <v>USMV</v>
      </c>
      <c r="I76" s="6">
        <f t="shared" si="297"/>
        <v>1.16661253795333E-2</v>
      </c>
      <c r="K76" t="str">
        <f t="shared" ref="K76:L76" si="329">K41</f>
        <v>SPLV</v>
      </c>
      <c r="L76" s="6">
        <f t="shared" si="299"/>
        <v>1.2853950328755302E-2</v>
      </c>
      <c r="N76" t="str">
        <f t="shared" ref="N76:O76" si="330">N41</f>
        <v>USMV</v>
      </c>
      <c r="O76" s="6">
        <f t="shared" si="301"/>
        <v>1.4143054973995801E-2</v>
      </c>
      <c r="Q76" t="str">
        <f t="shared" ref="Q76:R76" si="331">Q41</f>
        <v>USMV</v>
      </c>
      <c r="R76" s="6">
        <f t="shared" si="303"/>
        <v>1.4014542183846302E-2</v>
      </c>
      <c r="T76" t="str">
        <f t="shared" ref="T76:U76" si="332">T41</f>
        <v>USMV</v>
      </c>
      <c r="U76" s="6">
        <f t="shared" si="305"/>
        <v>1.4584571167827302E-2</v>
      </c>
      <c r="W76" t="str">
        <f t="shared" ref="W76:X76" si="333">W41</f>
        <v>GLD</v>
      </c>
      <c r="X76" s="6">
        <f t="shared" si="307"/>
        <v>1.3657447770671099E-2</v>
      </c>
      <c r="Z76" t="str">
        <f t="shared" ref="Z76:AA76" si="334">Z41</f>
        <v>USMV</v>
      </c>
      <c r="AA76" s="6">
        <f t="shared" si="309"/>
        <v>1.12605818928741E-2</v>
      </c>
      <c r="AC76" t="str">
        <f t="shared" ref="AC76:AD76" si="335">AC41</f>
        <v>XLP</v>
      </c>
      <c r="AD76" s="6">
        <f t="shared" si="311"/>
        <v>1.1949677684457601E-2</v>
      </c>
      <c r="AF76" t="str">
        <f t="shared" ref="AF76:AG76" si="336">AF41</f>
        <v>GLD</v>
      </c>
      <c r="AG76" s="5">
        <f t="shared" si="313"/>
        <v>1.2289931458892501E-2</v>
      </c>
      <c r="AI76" t="str">
        <f t="shared" ref="AI76:AJ76" si="337">AI41</f>
        <v>USMV</v>
      </c>
      <c r="AJ76" s="5">
        <f t="shared" si="315"/>
        <v>1.2023630700715E-2</v>
      </c>
    </row>
    <row r="77" spans="2:36" x14ac:dyDescent="0.25">
      <c r="B77" t="str">
        <f t="shared" si="292"/>
        <v>DBC</v>
      </c>
      <c r="C77" s="6">
        <f t="shared" si="293"/>
        <v>1.0024158709720401E-2</v>
      </c>
      <c r="E77" t="str">
        <f t="shared" ref="E77:F77" si="338">E42</f>
        <v>VTI</v>
      </c>
      <c r="F77" s="6">
        <f t="shared" si="295"/>
        <v>9.5759329644227401E-3</v>
      </c>
      <c r="H77" t="str">
        <f t="shared" ref="H77:I77" si="339">H42</f>
        <v>GLD</v>
      </c>
      <c r="I77" s="6">
        <f t="shared" si="297"/>
        <v>1.0683605125393E-2</v>
      </c>
      <c r="K77" t="str">
        <f t="shared" ref="K77:L77" si="340">K42</f>
        <v>USMV</v>
      </c>
      <c r="L77" s="6">
        <f t="shared" si="299"/>
        <v>1.1979889984014599E-2</v>
      </c>
      <c r="N77" t="str">
        <f t="shared" ref="N77:O77" si="341">N42</f>
        <v>VXUS</v>
      </c>
      <c r="O77" s="6">
        <f t="shared" si="301"/>
        <v>1.2852217354196699E-2</v>
      </c>
      <c r="Q77" t="str">
        <f t="shared" ref="Q77:R77" si="342">Q42</f>
        <v>VXUS</v>
      </c>
      <c r="R77" s="6">
        <f t="shared" si="303"/>
        <v>1.2946034015487801E-2</v>
      </c>
      <c r="T77" t="str">
        <f t="shared" ref="T77:U77" si="343">T42</f>
        <v>VTI</v>
      </c>
      <c r="U77" s="6">
        <f t="shared" si="305"/>
        <v>1.2554840403131502E-2</v>
      </c>
      <c r="W77" t="str">
        <f t="shared" ref="W77:X77" si="344">W42</f>
        <v>VTI</v>
      </c>
      <c r="X77" s="6">
        <f t="shared" si="307"/>
        <v>1.3376700066796803E-2</v>
      </c>
      <c r="Z77" t="str">
        <f t="shared" ref="Z77:AA77" si="345">Z42</f>
        <v>GLD</v>
      </c>
      <c r="AA77" s="6">
        <f t="shared" si="309"/>
        <v>1.1142345064246001E-2</v>
      </c>
      <c r="AC77" t="str">
        <f t="shared" ref="AC77:AD77" si="346">AC42</f>
        <v>USMV</v>
      </c>
      <c r="AD77" s="6">
        <f t="shared" si="311"/>
        <v>1.10343461128914E-2</v>
      </c>
      <c r="AF77" t="str">
        <f t="shared" ref="AF77:AG77" si="347">AF42</f>
        <v>USMV</v>
      </c>
      <c r="AG77" s="5">
        <f t="shared" si="313"/>
        <v>1.2058380105260001E-2</v>
      </c>
      <c r="AI77" t="str">
        <f t="shared" ref="AI77:AJ77" si="348">AI42</f>
        <v>SPLV</v>
      </c>
      <c r="AJ77" s="5">
        <f t="shared" si="315"/>
        <v>1.1539316043457599E-2</v>
      </c>
    </row>
    <row r="78" spans="2:36" x14ac:dyDescent="0.25">
      <c r="B78" t="str">
        <f t="shared" si="292"/>
        <v>VTI</v>
      </c>
      <c r="C78" s="6">
        <f t="shared" si="293"/>
        <v>9.4531107643475304E-3</v>
      </c>
      <c r="E78" t="str">
        <f t="shared" ref="E78:F78" si="349">E43</f>
        <v>XLRE</v>
      </c>
      <c r="F78" s="6">
        <f t="shared" si="295"/>
        <v>8.7509290133769898E-3</v>
      </c>
      <c r="H78" t="str">
        <f t="shared" ref="H78:I78" si="350">H43</f>
        <v>VTI</v>
      </c>
      <c r="I78" s="6">
        <f t="shared" si="297"/>
        <v>9.7975139748037506E-3</v>
      </c>
      <c r="K78" t="str">
        <f t="shared" ref="K78:L78" si="351">K43</f>
        <v>VTI</v>
      </c>
      <c r="L78" s="6">
        <f t="shared" si="299"/>
        <v>9.8619957113737309E-3</v>
      </c>
      <c r="N78" t="str">
        <f t="shared" ref="N78:O78" si="352">N43</f>
        <v>VTI</v>
      </c>
      <c r="O78" s="6">
        <f t="shared" si="301"/>
        <v>1.2074775049101301E-2</v>
      </c>
      <c r="Q78" t="str">
        <f t="shared" ref="Q78:R79" si="353">Q43</f>
        <v>GLD</v>
      </c>
      <c r="R78" s="6">
        <f t="shared" si="303"/>
        <v>1.2355873765239401E-2</v>
      </c>
      <c r="T78" t="str">
        <f t="shared" ref="T78:U79" si="354">T43</f>
        <v>GLD</v>
      </c>
      <c r="U78" s="6">
        <f t="shared" si="305"/>
        <v>1.2460258505269202E-2</v>
      </c>
      <c r="W78" t="str">
        <f t="shared" ref="W78:X78" si="355">W43</f>
        <v>XLU</v>
      </c>
      <c r="X78" s="6">
        <f t="shared" si="307"/>
        <v>1.1215707233819001E-2</v>
      </c>
      <c r="Z78" t="str">
        <f t="shared" ref="Z78:AA79" si="356">Z43</f>
        <v>VTI</v>
      </c>
      <c r="AA78" s="6">
        <f t="shared" si="309"/>
        <v>1.1092811774472701E-2</v>
      </c>
      <c r="AC78" t="str">
        <f t="shared" ref="AC78:AD79" si="357">AC43</f>
        <v>SPLV</v>
      </c>
      <c r="AD78" s="6">
        <f t="shared" si="311"/>
        <v>1.0997687188292402E-2</v>
      </c>
      <c r="AF78" t="str">
        <f t="shared" ref="AF78:AG78" si="358">AF43</f>
        <v>SPLV</v>
      </c>
      <c r="AG78" s="5">
        <f t="shared" si="313"/>
        <v>1.1695953284090501E-2</v>
      </c>
      <c r="AI78" t="str">
        <f t="shared" ref="AI78:AJ78" si="359">AI43</f>
        <v>GLD</v>
      </c>
      <c r="AJ78" s="5">
        <f t="shared" si="315"/>
        <v>1.09190509821828E-2</v>
      </c>
    </row>
    <row r="79" spans="2:36" x14ac:dyDescent="0.25">
      <c r="Q79" t="str">
        <f t="shared" si="353"/>
        <v>VTI</v>
      </c>
      <c r="R79" s="6">
        <f t="shared" si="303"/>
        <v>1.19543460617034E-2</v>
      </c>
      <c r="T79" t="str">
        <f t="shared" si="354"/>
        <v>XLU</v>
      </c>
      <c r="U79" s="6">
        <f t="shared" si="305"/>
        <v>1.0587515425919901E-2</v>
      </c>
      <c r="Z79" t="str">
        <f t="shared" si="356"/>
        <v>XLU</v>
      </c>
      <c r="AA79" s="6">
        <f t="shared" si="309"/>
        <v>9.5202589472562806E-3</v>
      </c>
      <c r="AC79" t="str">
        <f t="shared" si="357"/>
        <v>XLU</v>
      </c>
      <c r="AD79" s="6">
        <f t="shared" si="311"/>
        <v>9.4009230570959515E-3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חן דגני</dc:creator>
  <cp:lastModifiedBy>DGCHEN</cp:lastModifiedBy>
  <dcterms:created xsi:type="dcterms:W3CDTF">2015-06-05T18:19:34Z</dcterms:created>
  <dcterms:modified xsi:type="dcterms:W3CDTF">2026-01-22T14:59:13Z</dcterms:modified>
</cp:coreProperties>
</file>